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1" autoFilterDateGrouping="1"/>
  </bookViews>
  <sheets>
    <sheet name="Cover" sheetId="1" state="visible" r:id="rId1"/>
    <sheet name="Historicals" sheetId="2" state="visible" r:id="rId2"/>
    <sheet name="Operating Drivers" sheetId="3" state="visible" r:id="rId3"/>
    <sheet name="Forecast" sheetId="4" state="visible" r:id="rId4"/>
    <sheet name="DCF" sheetId="5" state="visible" r:id="rId5"/>
    <sheet name="Relative" sheetId="6" state="visible" r:id="rId6"/>
    <sheet name="Summary" sheetId="7" state="visible" r:id="rId7"/>
    <sheet name="Assumption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_ * #,##0_ ;_ * \-#,##0_ ;_ * &quot;-&quot;??_ ;_ @_ "/>
    <numFmt numFmtId="166" formatCode="_ * #,##0.00_ ;_ * \-#,##0.00_ ;_ * &quot;-&quot;??_ ;_ @_ "/>
    <numFmt numFmtId="167" formatCode="#,##0.0"/>
    <numFmt numFmtId="168" formatCode="0.0"/>
  </numFmts>
  <fonts count="4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color theme="1"/>
      <sz val="10"/>
      <scheme val="minor"/>
    </font>
    <font>
      <name val="Calibri"/>
      <family val="2"/>
      <color rgb="FF22222F"/>
      <sz val="10"/>
      <scheme val="minor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color theme="1"/>
      <sz val="10"/>
      <scheme val="minor"/>
    </font>
    <font>
      <name val="Arial"/>
      <family val="2"/>
      <color rgb="FF606F7B"/>
      <sz val="11"/>
    </font>
    <font>
      <name val="Calibri"/>
      <family val="2"/>
      <i val="1"/>
      <color rgb="FF808080"/>
      <sz val="8"/>
    </font>
    <font>
      <name val="Calibri"/>
      <family val="2"/>
      <b val="1"/>
      <sz val="9"/>
    </font>
    <font>
      <name val="Calibri"/>
      <family val="2"/>
      <sz val="10"/>
    </font>
    <font>
      <name val="Calibri"/>
      <family val="2"/>
      <b val="1"/>
      <sz val="10"/>
    </font>
    <font>
      <name val="Calibri"/>
      <family val="2"/>
      <b val="1"/>
      <color rgb="FFFF0000"/>
      <sz val="10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color rgb="FF606F7B"/>
      <sz val="10"/>
    </font>
    <font>
      <name val="Calibri"/>
      <family val="2"/>
      <b val="1"/>
      <color rgb="FF22222F"/>
      <sz val="10"/>
      <scheme val="minor"/>
    </font>
    <font>
      <name val="Calibri"/>
      <family val="2"/>
      <color rgb="FF606F7B"/>
      <sz val="10"/>
      <scheme val="minor"/>
    </font>
    <font>
      <name val="Calibri"/>
      <family val="2"/>
      <i val="1"/>
      <color rgb="FF808080"/>
      <sz val="10"/>
    </font>
    <font>
      <name val="Calibri"/>
      <family val="2"/>
      <b val="1"/>
      <color rgb="FFFF0000"/>
      <sz val="8"/>
      <scheme val="minor"/>
    </font>
    <font>
      <name val="Calibri"/>
      <family val="2"/>
      <b val="1"/>
      <color rgb="FF002060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rgb="FFFF0000"/>
      <sz val="10"/>
    </font>
    <font>
      <name val="Calibri"/>
      <family val="2"/>
      <b val="1"/>
      <color rgb="FFFFFFFF"/>
      <sz val="10"/>
    </font>
    <font>
      <name val="Calibri"/>
      <family val="2"/>
      <b val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theme="0"/>
      <sz val="10"/>
    </font>
    <font>
      <name val="Calibri"/>
      <family val="2"/>
      <color rgb="FF002060"/>
      <sz val="10"/>
    </font>
    <font>
      <name val="Calibri"/>
      <family val="2"/>
      <color rgb="FF002060"/>
      <sz val="10"/>
      <scheme val="minor"/>
    </font>
    <font>
      <name val="Calibri"/>
      <family val="2"/>
      <b val="1"/>
      <color rgb="FF002060"/>
      <sz val="10"/>
    </font>
    <font>
      <name val="Calibri"/>
      <family val="2"/>
      <b val="1"/>
      <sz val="11"/>
      <scheme val="minor"/>
    </font>
    <font>
      <name val="Calibri"/>
      <family val="2"/>
      <i val="1"/>
      <sz val="8"/>
    </font>
    <font>
      <name val="Calibri"/>
      <family val="2"/>
      <b val="1"/>
      <color rgb="FFFFFFFF"/>
      <sz val="11"/>
    </font>
    <font>
      <name val="Calibri"/>
      <family val="2"/>
      <b val="1"/>
      <color rgb="FF1F3864"/>
      <sz val="10"/>
    </font>
    <font>
      <name val="Calibri"/>
      <family val="2"/>
      <b val="1"/>
      <color rgb="FF665EFD"/>
      <sz val="10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b val="1"/>
      <color rgb="FFFFFFFF"/>
      <sz val="9"/>
      <scheme val="minor"/>
    </font>
    <font>
      <name val="Calibri"/>
      <family val="2"/>
      <b val="1"/>
      <sz val="9"/>
      <scheme val="minor"/>
    </font>
    <font>
      <name val="Calibri"/>
      <family val="2"/>
      <sz val="9"/>
      <scheme val="minor"/>
    </font>
    <font>
      <name val="Calibri"/>
      <family val="2"/>
      <b val="1"/>
      <color theme="0"/>
      <sz val="20"/>
      <scheme val="minor"/>
    </font>
  </fonts>
  <fills count="12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2E5496"/>
      </patternFill>
    </fill>
    <fill>
      <patternFill patternType="solid">
        <fgColor rgb="FFD6E0F0"/>
      </patternFill>
    </fill>
    <fill>
      <patternFill patternType="solid">
        <fgColor rgb="FFF8F8FC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C00000"/>
      </patternFill>
    </fill>
  </fills>
  <borders count="22">
    <border>
      <left/>
      <right/>
      <top/>
      <bottom/>
      <diagonal/>
    </border>
    <border>
      <left style="medium">
        <color rgb="FFEEEEEE"/>
      </left>
      <right style="medium">
        <color rgb="FFEEEEEE"/>
      </right>
      <top/>
      <bottom/>
      <diagonal/>
    </border>
    <border>
      <left style="medium">
        <color rgb="FFEEEEEE"/>
      </left>
      <right/>
      <top/>
      <bottom/>
      <diagonal/>
    </border>
    <border>
      <left/>
      <right style="medium">
        <color rgb="FFEEEEEE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theme="0" tint="-0.3499862666707358"/>
      </bottom>
      <diagonal/>
    </border>
    <border>
      <left style="medium">
        <color rgb="FFEEEEEE"/>
      </left>
      <right style="medium">
        <color rgb="FFEEEEEE"/>
      </right>
      <top/>
      <bottom style="thin">
        <color theme="0" tint="-0.3499862666707358"/>
      </bottom>
      <diagonal/>
    </border>
    <border>
      <left style="medium">
        <color rgb="FFEEEEEE"/>
      </left>
      <right/>
      <top/>
      <bottom style="thin">
        <color theme="0" tint="-0.3499862666707358"/>
      </bottom>
      <diagonal/>
    </border>
    <border>
      <left/>
      <right style="medium">
        <color rgb="FFEEEEEE"/>
      </right>
      <top/>
      <bottom style="thin">
        <color theme="0" tint="-0.3499862666707358"/>
      </bottom>
      <diagonal/>
    </border>
    <border>
      <left style="medium">
        <color rgb="FFEEEEEE"/>
      </left>
      <right style="medium">
        <color rgb="FFEEEEEE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rgb="FFEEEEEE"/>
      </left>
      <right style="medium">
        <color rgb="FFEEEEEE"/>
      </right>
      <top style="medium">
        <color indexed="64"/>
      </top>
      <bottom style="thin">
        <color theme="0" tint="-0.3499862666707358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/>
      <top/>
      <bottom style="medium">
        <color rgb="FF002060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/>
      <right/>
      <top style="medium">
        <color rgb="FFDBE4F0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5" fillId="0" borderId="0"/>
    <xf numFmtId="43" fontId="5" fillId="0" borderId="0"/>
    <xf numFmtId="9" fontId="5" fillId="0" borderId="0"/>
  </cellStyleXfs>
  <cellXfs count="263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7" fillId="0" borderId="4" applyAlignment="1" pivotButton="0" quotePrefix="0" xfId="0">
      <alignment horizontal="right"/>
    </xf>
    <xf numFmtId="0" fontId="8" fillId="0" borderId="0" pivotButton="0" quotePrefix="0" xfId="0"/>
    <xf numFmtId="0" fontId="3" fillId="3" borderId="1" applyAlignment="1" pivotButton="0" quotePrefix="0" xfId="0">
      <alignment vertical="center" wrapText="1"/>
    </xf>
    <xf numFmtId="4" fontId="0" fillId="0" borderId="0" pivotButton="0" quotePrefix="0" xfId="0"/>
    <xf numFmtId="17" fontId="10" fillId="3" borderId="5" applyAlignment="1" pivotButton="0" quotePrefix="0" xfId="0">
      <alignment horizontal="right" vertical="center" wrapText="1"/>
    </xf>
    <xf numFmtId="0" fontId="0" fillId="3" borderId="5" pivotButton="0" quotePrefix="0" xfId="0"/>
    <xf numFmtId="0" fontId="0" fillId="0" borderId="5" pivotButton="0" quotePrefix="0" xfId="0"/>
    <xf numFmtId="0" fontId="11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5" fillId="0" borderId="4" pivotButton="0" quotePrefix="0" xfId="0"/>
    <xf numFmtId="0" fontId="15" fillId="0" borderId="4" applyAlignment="1" pivotButton="0" quotePrefix="0" xfId="0">
      <alignment horizontal="right"/>
    </xf>
    <xf numFmtId="0" fontId="3" fillId="0" borderId="1" applyAlignment="1" pivotButton="0" quotePrefix="0" xfId="0">
      <alignment vertical="center" wrapText="1"/>
    </xf>
    <xf numFmtId="3" fontId="3" fillId="0" borderId="1" applyAlignment="1" pivotButton="0" quotePrefix="0" xfId="0">
      <alignment horizontal="right" vertical="center" wrapText="1"/>
    </xf>
    <xf numFmtId="0" fontId="9" fillId="0" borderId="1" applyAlignment="1" pivotButton="0" quotePrefix="0" xfId="0">
      <alignment vertical="center" wrapText="1"/>
    </xf>
    <xf numFmtId="3" fontId="9" fillId="0" borderId="1" applyAlignment="1" pivotButton="0" quotePrefix="0" xfId="0">
      <alignment horizontal="right" vertical="center" wrapText="1"/>
    </xf>
    <xf numFmtId="0" fontId="3" fillId="0" borderId="6" applyAlignment="1" pivotButton="0" quotePrefix="0" xfId="0">
      <alignment vertical="center" wrapText="1"/>
    </xf>
    <xf numFmtId="3" fontId="3" fillId="0" borderId="6" applyAlignment="1" pivotButton="0" quotePrefix="0" xfId="0">
      <alignment horizontal="right" vertical="center" wrapText="1"/>
    </xf>
    <xf numFmtId="0" fontId="9" fillId="0" borderId="9" applyAlignment="1" pivotButton="0" quotePrefix="0" xfId="0">
      <alignment vertical="center" wrapText="1"/>
    </xf>
    <xf numFmtId="3" fontId="9" fillId="0" borderId="9" applyAlignment="1" pivotButton="0" quotePrefix="0" xfId="0">
      <alignment horizontal="right" vertical="center" wrapText="1"/>
    </xf>
    <xf numFmtId="0" fontId="9" fillId="0" borderId="7" applyAlignment="1" pivotButton="0" quotePrefix="0" xfId="0">
      <alignment vertical="center" wrapText="1"/>
    </xf>
    <xf numFmtId="3" fontId="9" fillId="0" borderId="6" applyAlignment="1" pivotButton="0" quotePrefix="0" xfId="0">
      <alignment horizontal="right" vertical="center" wrapText="1"/>
    </xf>
    <xf numFmtId="3" fontId="9" fillId="0" borderId="8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3" fontId="3" fillId="0" borderId="3" applyAlignment="1" pivotButton="0" quotePrefix="0" xfId="0">
      <alignment vertical="center" wrapText="1"/>
    </xf>
    <xf numFmtId="0" fontId="9" fillId="0" borderId="6" applyAlignment="1" pivotButton="0" quotePrefix="0" xfId="0">
      <alignment vertical="center" wrapText="1"/>
    </xf>
    <xf numFmtId="3" fontId="9" fillId="0" borderId="3" applyAlignment="1" pivotButton="0" quotePrefix="0" xfId="0">
      <alignment vertical="center" wrapText="1"/>
    </xf>
    <xf numFmtId="0" fontId="9" fillId="0" borderId="2" applyAlignment="1" pivotButton="0" quotePrefix="0" xfId="0">
      <alignment vertical="center" wrapText="1"/>
    </xf>
    <xf numFmtId="3" fontId="3" fillId="3" borderId="1" applyAlignment="1" pivotButton="0" quotePrefix="0" xfId="0">
      <alignment horizontal="right" vertical="center" wrapText="1"/>
    </xf>
    <xf numFmtId="0" fontId="9" fillId="0" borderId="10" applyAlignment="1" pivotButton="0" quotePrefix="0" xfId="0">
      <alignment vertical="center" wrapText="1"/>
    </xf>
    <xf numFmtId="0" fontId="9" fillId="0" borderId="1" applyAlignment="1" pivotButton="0" quotePrefix="0" xfId="0">
      <alignment horizontal="right" vertical="center" wrapText="1"/>
    </xf>
    <xf numFmtId="0" fontId="9" fillId="0" borderId="2" applyAlignment="1" pivotButton="0" quotePrefix="0" xfId="0">
      <alignment horizontal="right" vertical="center" wrapText="1"/>
    </xf>
    <xf numFmtId="1" fontId="3" fillId="0" borderId="1" applyAlignment="1" pivotButton="0" quotePrefix="0" xfId="0">
      <alignment horizontal="right" vertical="center" wrapText="1"/>
    </xf>
    <xf numFmtId="1" fontId="9" fillId="0" borderId="6" applyAlignment="1" pivotButton="0" quotePrefix="0" xfId="0">
      <alignment horizontal="right" vertical="center" wrapText="1"/>
    </xf>
    <xf numFmtId="1" fontId="9" fillId="0" borderId="1" applyAlignment="1" pivotButton="0" quotePrefix="0" xfId="0">
      <alignment horizontal="right" vertical="center" wrapText="1"/>
    </xf>
    <xf numFmtId="1" fontId="3" fillId="0" borderId="5" pivotButton="0" quotePrefix="0" xfId="0"/>
    <xf numFmtId="1" fontId="9" fillId="0" borderId="7" applyAlignment="1" pivotButton="0" quotePrefix="0" xfId="0">
      <alignment horizontal="right" vertical="center" wrapText="1"/>
    </xf>
    <xf numFmtId="0" fontId="9" fillId="0" borderId="5" applyAlignment="1" pivotButton="0" quotePrefix="0" xfId="0">
      <alignment vertical="center" wrapText="1"/>
    </xf>
    <xf numFmtId="1" fontId="9" fillId="0" borderId="5" applyAlignment="1" pivotButton="0" quotePrefix="0" xfId="0">
      <alignment horizontal="right" vertical="center" wrapText="1"/>
    </xf>
    <xf numFmtId="1" fontId="3" fillId="0" borderId="0" pivotButton="0" quotePrefix="0" xfId="0"/>
    <xf numFmtId="1" fontId="9" fillId="0" borderId="2" applyAlignment="1" pivotButton="0" quotePrefix="0" xfId="0">
      <alignment horizontal="right" vertical="center" wrapText="1"/>
    </xf>
    <xf numFmtId="1" fontId="3" fillId="0" borderId="6" applyAlignment="1" pivotButton="0" quotePrefix="0" xfId="0">
      <alignment horizontal="right" vertical="center" wrapText="1"/>
    </xf>
    <xf numFmtId="0" fontId="3" fillId="0" borderId="0" applyAlignment="1" pivotButton="0" quotePrefix="0" xfId="0">
      <alignment vertical="center" wrapText="1"/>
    </xf>
    <xf numFmtId="1" fontId="3" fillId="0" borderId="0" applyAlignment="1" pivotButton="0" quotePrefix="0" xfId="0">
      <alignment horizontal="right" vertical="center" wrapText="1"/>
    </xf>
    <xf numFmtId="1" fontId="9" fillId="0" borderId="9" applyAlignment="1" pivotButton="0" quotePrefix="0" xfId="0">
      <alignment horizontal="right" vertical="center" wrapText="1"/>
    </xf>
    <xf numFmtId="0" fontId="16" fillId="3" borderId="1" applyAlignment="1" pivotButton="0" quotePrefix="0" xfId="0">
      <alignment horizontal="right" vertical="center" wrapText="1"/>
    </xf>
    <xf numFmtId="0" fontId="16" fillId="3" borderId="2" applyAlignment="1" pivotButton="0" quotePrefix="0" xfId="0">
      <alignment horizontal="right" vertical="center" wrapText="1"/>
    </xf>
    <xf numFmtId="0" fontId="17" fillId="3" borderId="1" applyAlignment="1" pivotButton="0" quotePrefix="0" xfId="0">
      <alignment horizontal="right" vertical="center" wrapText="1"/>
    </xf>
    <xf numFmtId="17" fontId="18" fillId="3" borderId="5" applyAlignment="1" pivotButton="0" quotePrefix="0" xfId="0">
      <alignment horizontal="right" vertical="center" wrapText="1"/>
    </xf>
    <xf numFmtId="0" fontId="21" fillId="0" borderId="11" applyAlignment="1" pivotButton="0" quotePrefix="0" xfId="0">
      <alignment horizontal="center" vertical="center"/>
    </xf>
    <xf numFmtId="3" fontId="3" fillId="0" borderId="11" applyAlignment="1" pivotButton="0" quotePrefix="0" xfId="0">
      <alignment horizontal="right" vertical="center"/>
    </xf>
    <xf numFmtId="3" fontId="14" fillId="0" borderId="11" applyAlignment="1" pivotButton="0" quotePrefix="0" xfId="0">
      <alignment horizontal="right" vertical="center"/>
    </xf>
    <xf numFmtId="3" fontId="14" fillId="4" borderId="11" applyAlignment="1" pivotButton="0" quotePrefix="0" xfId="0">
      <alignment horizontal="right" vertical="center"/>
    </xf>
    <xf numFmtId="164" fontId="3" fillId="0" borderId="11" applyAlignment="1" pivotButton="0" quotePrefix="0" xfId="0">
      <alignment horizontal="right" vertical="center"/>
    </xf>
    <xf numFmtId="0" fontId="7" fillId="0" borderId="4" applyAlignment="1" pivotButton="0" quotePrefix="0" xfId="0">
      <alignment horizontal="left"/>
    </xf>
    <xf numFmtId="164" fontId="3" fillId="0" borderId="0" applyAlignment="1" pivotButton="0" quotePrefix="0" xfId="0">
      <alignment horizontal="right" vertical="center"/>
    </xf>
    <xf numFmtId="0" fontId="21" fillId="0" borderId="0" applyAlignment="1" pivotButton="0" quotePrefix="0" xfId="0">
      <alignment horizontal="center" vertical="center"/>
    </xf>
    <xf numFmtId="3" fontId="21" fillId="0" borderId="11" applyAlignment="1" pivotButton="0" quotePrefix="0" xfId="0">
      <alignment horizontal="center" vertical="center"/>
    </xf>
    <xf numFmtId="9" fontId="21" fillId="0" borderId="11" applyAlignment="1" pivotButton="0" quotePrefix="0" xfId="2">
      <alignment horizontal="center" vertical="center"/>
    </xf>
    <xf numFmtId="0" fontId="11" fillId="0" borderId="0" pivotButton="0" quotePrefix="0" xfId="0"/>
    <xf numFmtId="3" fontId="3" fillId="0" borderId="0" applyAlignment="1" pivotButton="0" quotePrefix="0" xfId="0">
      <alignment horizontal="right" vertical="center"/>
    </xf>
    <xf numFmtId="0" fontId="21" fillId="0" borderId="0" applyAlignment="1" pivotButton="0" quotePrefix="0" xfId="0">
      <alignment horizontal="left" vertical="center"/>
    </xf>
    <xf numFmtId="0" fontId="22" fillId="0" borderId="4" applyAlignment="1" pivotButton="0" quotePrefix="0" xfId="0">
      <alignment horizontal="right"/>
    </xf>
    <xf numFmtId="0" fontId="11" fillId="0" borderId="0" applyAlignment="1" pivotButton="0" quotePrefix="0" xfId="0">
      <alignment horizontal="center"/>
    </xf>
    <xf numFmtId="165" fontId="3" fillId="0" borderId="0" pivotButton="0" quotePrefix="0" xfId="1"/>
    <xf numFmtId="165" fontId="3" fillId="0" borderId="0" applyAlignment="1" pivotButton="0" quotePrefix="0" xfId="1">
      <alignment horizontal="right"/>
    </xf>
    <xf numFmtId="164" fontId="3" fillId="0" borderId="0" pivotButton="0" quotePrefix="0" xfId="0"/>
    <xf numFmtId="9" fontId="3" fillId="0" borderId="0" pivotButton="0" quotePrefix="0" xfId="2"/>
    <xf numFmtId="2" fontId="3" fillId="0" borderId="0" pivotButton="0" quotePrefix="0" xfId="0"/>
    <xf numFmtId="0" fontId="15" fillId="0" borderId="0" applyAlignment="1" pivotButton="0" quotePrefix="0" xfId="0">
      <alignment horizontal="right"/>
    </xf>
    <xf numFmtId="165" fontId="9" fillId="0" borderId="0" pivotButton="0" quotePrefix="0" xfId="1"/>
    <xf numFmtId="164" fontId="3" fillId="0" borderId="0" pivotButton="0" quotePrefix="0" xfId="2"/>
    <xf numFmtId="10" fontId="3" fillId="0" borderId="0" pivotButton="0" quotePrefix="0" xfId="2"/>
    <xf numFmtId="166" fontId="3" fillId="0" borderId="0" pivotButton="0" quotePrefix="0" xfId="0"/>
    <xf numFmtId="0" fontId="23" fillId="0" borderId="4" applyAlignment="1" pivotButton="0" quotePrefix="0" xfId="0">
      <alignment horizontal="right"/>
    </xf>
    <xf numFmtId="0" fontId="14" fillId="0" borderId="5" applyAlignment="1" pivotButton="0" quotePrefix="0" xfId="0">
      <alignment horizontal="left" vertical="center"/>
    </xf>
    <xf numFmtId="0" fontId="11" fillId="0" borderId="5" applyAlignment="1" pivotButton="0" quotePrefix="0" xfId="0">
      <alignment horizontal="center" vertical="center"/>
    </xf>
    <xf numFmtId="165" fontId="9" fillId="0" borderId="5" pivotButton="0" quotePrefix="0" xfId="1"/>
    <xf numFmtId="2" fontId="3" fillId="0" borderId="0" pivotButton="0" quotePrefix="0" xfId="1"/>
    <xf numFmtId="1" fontId="3" fillId="0" borderId="0" pivotButton="0" quotePrefix="0" xfId="1"/>
    <xf numFmtId="0" fontId="7" fillId="0" borderId="14" pivotButton="0" quotePrefix="0" xfId="0"/>
    <xf numFmtId="0" fontId="0" fillId="0" borderId="14" pivotButton="0" quotePrefix="0" xfId="0"/>
    <xf numFmtId="0" fontId="13" fillId="0" borderId="12" applyAlignment="1" pivotButton="0" quotePrefix="0" xfId="0">
      <alignment horizontal="left" vertical="center"/>
    </xf>
    <xf numFmtId="0" fontId="14" fillId="0" borderId="12" applyAlignment="1" pivotButton="0" quotePrefix="0" xfId="0">
      <alignment horizontal="left" vertical="center"/>
    </xf>
    <xf numFmtId="0" fontId="24" fillId="0" borderId="15" applyAlignment="1" pivotButton="0" quotePrefix="0" xfId="0">
      <alignment horizontal="left" vertical="center"/>
    </xf>
    <xf numFmtId="0" fontId="24" fillId="0" borderId="12" applyAlignment="1" pivotButton="0" quotePrefix="0" xfId="0">
      <alignment horizontal="left" vertical="center"/>
    </xf>
    <xf numFmtId="164" fontId="24" fillId="5" borderId="12" applyAlignment="1" pivotButton="0" quotePrefix="0" xfId="0">
      <alignment horizontal="right" vertical="center"/>
    </xf>
    <xf numFmtId="164" fontId="24" fillId="4" borderId="12" applyAlignment="1" pivotButton="0" quotePrefix="0" xfId="0">
      <alignment horizontal="right" vertical="center"/>
    </xf>
    <xf numFmtId="0" fontId="7" fillId="0" borderId="14" applyAlignment="1" pivotButton="0" quotePrefix="0" xfId="0">
      <alignment horizontal="right"/>
    </xf>
    <xf numFmtId="0" fontId="24" fillId="0" borderId="0" applyAlignment="1" pivotButton="0" quotePrefix="0" xfId="0">
      <alignment horizontal="left" vertical="center"/>
    </xf>
    <xf numFmtId="164" fontId="24" fillId="0" borderId="0" applyAlignment="1" pivotButton="0" quotePrefix="0" xfId="0">
      <alignment horizontal="right" vertical="center"/>
    </xf>
    <xf numFmtId="0" fontId="7" fillId="0" borderId="0" pivotButton="0" quotePrefix="0" xfId="0"/>
    <xf numFmtId="3" fontId="14" fillId="5" borderId="12" applyAlignment="1" pivotButton="0" quotePrefix="0" xfId="0">
      <alignment horizontal="right" vertical="center"/>
    </xf>
    <xf numFmtId="165" fontId="9" fillId="0" borderId="0" pivotButton="0" quotePrefix="0" xfId="0"/>
    <xf numFmtId="3" fontId="14" fillId="5" borderId="11" applyAlignment="1" pivotButton="0" quotePrefix="0" xfId="0">
      <alignment horizontal="right" vertical="center"/>
    </xf>
    <xf numFmtId="164" fontId="14" fillId="4" borderId="11" applyAlignment="1" pivotButton="0" quotePrefix="0" xfId="0">
      <alignment horizontal="right" vertical="center"/>
    </xf>
    <xf numFmtId="0" fontId="25" fillId="0" borderId="11" applyAlignment="1" pivotButton="0" quotePrefix="0" xfId="0">
      <alignment horizontal="left" vertical="center"/>
    </xf>
    <xf numFmtId="0" fontId="25" fillId="0" borderId="11" applyAlignment="1" pivotButton="0" quotePrefix="0" xfId="0">
      <alignment horizontal="center" vertical="center"/>
    </xf>
    <xf numFmtId="0" fontId="14" fillId="0" borderId="11" applyAlignment="1" pivotButton="0" quotePrefix="0" xfId="0">
      <alignment horizontal="left" vertical="center"/>
    </xf>
    <xf numFmtId="167" fontId="3" fillId="0" borderId="11" applyAlignment="1" pivotButton="0" quotePrefix="0" xfId="0">
      <alignment horizontal="right" vertical="center"/>
    </xf>
    <xf numFmtId="0" fontId="13" fillId="0" borderId="11" applyAlignment="1" pivotButton="0" quotePrefix="0" xfId="0">
      <alignment horizontal="left" vertical="center"/>
    </xf>
    <xf numFmtId="167" fontId="3" fillId="7" borderId="11" applyAlignment="1" pivotButton="0" quotePrefix="0" xfId="0">
      <alignment horizontal="right" vertical="center"/>
    </xf>
    <xf numFmtId="167" fontId="3" fillId="5" borderId="11" applyAlignment="1" pivotButton="0" quotePrefix="0" xfId="0">
      <alignment horizontal="right" vertical="center"/>
    </xf>
    <xf numFmtId="3" fontId="3" fillId="5" borderId="11" applyAlignment="1" pivotButton="0" quotePrefix="0" xfId="0">
      <alignment horizontal="right" vertical="center"/>
    </xf>
    <xf numFmtId="0" fontId="26" fillId="6" borderId="11" applyAlignment="1" pivotButton="0" quotePrefix="0" xfId="0">
      <alignment horizontal="left" vertical="center"/>
    </xf>
    <xf numFmtId="0" fontId="26" fillId="6" borderId="11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3" fontId="12" fillId="7" borderId="11" applyAlignment="1" pivotButton="0" quotePrefix="0" xfId="0">
      <alignment horizontal="center" vertical="center"/>
    </xf>
    <xf numFmtId="0" fontId="27" fillId="0" borderId="12" applyAlignment="1" pivotButton="0" quotePrefix="0" xfId="0">
      <alignment horizontal="left" vertical="center"/>
    </xf>
    <xf numFmtId="164" fontId="27" fillId="4" borderId="12" applyAlignment="1" pivotButton="0" quotePrefix="0" xfId="0">
      <alignment horizontal="right" vertical="center"/>
    </xf>
    <xf numFmtId="164" fontId="12" fillId="5" borderId="16" applyAlignment="1" pivotButton="0" quotePrefix="0" xfId="0">
      <alignment horizontal="center" vertical="center"/>
    </xf>
    <xf numFmtId="164" fontId="12" fillId="5" borderId="17" applyAlignment="1" pivotButton="0" quotePrefix="0" xfId="0">
      <alignment horizontal="center" vertical="center"/>
    </xf>
    <xf numFmtId="164" fontId="12" fillId="5" borderId="13" applyAlignment="1" pivotButton="0" quotePrefix="0" xfId="0">
      <alignment horizontal="center" vertical="center"/>
    </xf>
    <xf numFmtId="168" fontId="3" fillId="0" borderId="12" applyAlignment="1" pivotButton="0" quotePrefix="0" xfId="0">
      <alignment horizontal="center"/>
    </xf>
    <xf numFmtId="168" fontId="13" fillId="0" borderId="1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9" fontId="3" fillId="5" borderId="11" applyAlignment="1" pivotButton="0" quotePrefix="0" xfId="2">
      <alignment horizontal="right" vertical="center"/>
    </xf>
    <xf numFmtId="3" fontId="9" fillId="5" borderId="11" applyAlignment="1" pivotButton="0" quotePrefix="0" xfId="0">
      <alignment horizontal="right" vertical="center"/>
    </xf>
    <xf numFmtId="167" fontId="9" fillId="5" borderId="11" applyAlignment="1" pivotButton="0" quotePrefix="0" xfId="0">
      <alignment horizontal="right" vertical="center"/>
    </xf>
    <xf numFmtId="0" fontId="29" fillId="2" borderId="0" applyAlignment="1" pivotButton="0" quotePrefix="0" xfId="0">
      <alignment horizontal="left" vertical="center"/>
    </xf>
    <xf numFmtId="0" fontId="6" fillId="2" borderId="0" pivotButton="0" quotePrefix="0" xfId="0"/>
    <xf numFmtId="3" fontId="29" fillId="2" borderId="11" applyAlignment="1" pivotButton="0" quotePrefix="0" xfId="0">
      <alignment horizontal="right" vertical="center"/>
    </xf>
    <xf numFmtId="1" fontId="14" fillId="0" borderId="0" applyAlignment="1" pivotButton="0" quotePrefix="0" xfId="0">
      <alignment horizontal="right" vertical="center"/>
    </xf>
    <xf numFmtId="1" fontId="13" fillId="0" borderId="0" applyAlignment="1" pivotButton="0" quotePrefix="0" xfId="0">
      <alignment horizontal="right" vertical="center"/>
    </xf>
    <xf numFmtId="164" fontId="14" fillId="0" borderId="0" applyAlignment="1" pivotButton="0" quotePrefix="0" xfId="2">
      <alignment horizontal="right" vertical="center"/>
    </xf>
    <xf numFmtId="3" fontId="31" fillId="0" borderId="11" applyAlignment="1" pivotButton="0" quotePrefix="0" xfId="0">
      <alignment horizontal="right" vertical="center"/>
    </xf>
    <xf numFmtId="3" fontId="32" fillId="0" borderId="11" applyAlignment="1" pivotButton="0" quotePrefix="0" xfId="0">
      <alignment horizontal="right" vertical="center"/>
    </xf>
    <xf numFmtId="164" fontId="31" fillId="0" borderId="11" applyAlignment="1" pivotButton="0" quotePrefix="0" xfId="0">
      <alignment horizontal="right" vertical="center"/>
    </xf>
    <xf numFmtId="0" fontId="24" fillId="0" borderId="0" pivotButton="0" quotePrefix="0" xfId="0"/>
    <xf numFmtId="0" fontId="28" fillId="0" borderId="0" pivotButton="0" quotePrefix="0" xfId="0"/>
    <xf numFmtId="0" fontId="33" fillId="0" borderId="4" applyAlignment="1" pivotButton="0" quotePrefix="0" xfId="0">
      <alignment horizontal="right"/>
    </xf>
    <xf numFmtId="0" fontId="34" fillId="0" borderId="0" applyAlignment="1" pivotButton="0" quotePrefix="0" xfId="0">
      <alignment horizontal="center" vertical="center"/>
    </xf>
    <xf numFmtId="164" fontId="31" fillId="5" borderId="15" applyAlignment="1" pivotButton="0" quotePrefix="0" xfId="0">
      <alignment horizontal="right" vertical="center"/>
    </xf>
    <xf numFmtId="164" fontId="31" fillId="5" borderId="12" applyAlignment="1" pivotButton="0" quotePrefix="0" xfId="0">
      <alignment horizontal="right" vertical="center"/>
    </xf>
    <xf numFmtId="2" fontId="31" fillId="5" borderId="12" applyAlignment="1" pivotButton="0" quotePrefix="0" xfId="0">
      <alignment horizontal="right" vertical="center"/>
    </xf>
    <xf numFmtId="164" fontId="32" fillId="5" borderId="12" applyAlignment="1" pivotButton="0" quotePrefix="0" xfId="0">
      <alignment horizontal="right" vertical="center"/>
    </xf>
    <xf numFmtId="3" fontId="30" fillId="5" borderId="12" applyAlignment="1" pivotButton="0" quotePrefix="0" xfId="0">
      <alignment horizontal="right" vertical="center"/>
    </xf>
    <xf numFmtId="2" fontId="30" fillId="5" borderId="12" applyAlignment="1" pivotButton="0" quotePrefix="0" xfId="0">
      <alignment horizontal="right" vertical="center"/>
    </xf>
    <xf numFmtId="10" fontId="9" fillId="0" borderId="0" pivotButton="0" quotePrefix="0" xfId="2"/>
    <xf numFmtId="3" fontId="9" fillId="0" borderId="11" applyAlignment="1" pivotButton="0" quotePrefix="0" xfId="0">
      <alignment horizontal="right" vertical="center"/>
    </xf>
    <xf numFmtId="0" fontId="4" fillId="8" borderId="0" applyAlignment="1" pivotButton="0" quotePrefix="0" xfId="0">
      <alignment horizontal="right" vertical="center" wrapText="1"/>
    </xf>
    <xf numFmtId="0" fontId="19" fillId="8" borderId="18" applyAlignment="1" pivotButton="0" quotePrefix="0" xfId="0">
      <alignment horizontal="right" vertical="center" wrapText="1"/>
    </xf>
    <xf numFmtId="0" fontId="4" fillId="8" borderId="0" applyAlignment="1" pivotButton="0" quotePrefix="0" xfId="0">
      <alignment horizontal="left" vertical="center"/>
    </xf>
    <xf numFmtId="3" fontId="4" fillId="8" borderId="0" applyAlignment="1" pivotButton="0" quotePrefix="0" xfId="0">
      <alignment horizontal="right" vertical="center" wrapText="1"/>
    </xf>
    <xf numFmtId="0" fontId="4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 wrapText="1"/>
    </xf>
    <xf numFmtId="3" fontId="4" fillId="3" borderId="0" applyAlignment="1" pivotButton="0" quotePrefix="0" xfId="0">
      <alignment horizontal="right" vertical="center" wrapText="1"/>
    </xf>
    <xf numFmtId="0" fontId="20" fillId="8" borderId="0" applyAlignment="1" pivotButton="0" quotePrefix="0" xfId="0">
      <alignment horizontal="left" vertical="center" indent="2"/>
    </xf>
    <xf numFmtId="0" fontId="20" fillId="8" borderId="0" applyAlignment="1" pivotButton="0" quotePrefix="0" xfId="0">
      <alignment horizontal="right" vertical="center" wrapText="1"/>
    </xf>
    <xf numFmtId="3" fontId="20" fillId="8" borderId="0" applyAlignment="1" pivotButton="0" quotePrefix="0" xfId="0">
      <alignment horizontal="right" vertical="center" wrapText="1"/>
    </xf>
    <xf numFmtId="0" fontId="20" fillId="3" borderId="0" applyAlignment="1" pivotButton="0" quotePrefix="0" xfId="0">
      <alignment horizontal="left" vertical="center" indent="2"/>
    </xf>
    <xf numFmtId="9" fontId="20" fillId="3" borderId="0" applyAlignment="1" pivotButton="0" quotePrefix="0" xfId="0">
      <alignment horizontal="right" vertical="center" wrapText="1"/>
    </xf>
    <xf numFmtId="0" fontId="19" fillId="8" borderId="18" applyAlignment="1" pivotButton="0" quotePrefix="0" xfId="0">
      <alignment horizontal="left" vertical="center" indent="2"/>
    </xf>
    <xf numFmtId="3" fontId="19" fillId="8" borderId="18" applyAlignment="1" pivotButton="0" quotePrefix="0" xfId="0">
      <alignment horizontal="right" vertical="center" wrapText="1"/>
    </xf>
    <xf numFmtId="0" fontId="19" fillId="8" borderId="18" applyAlignment="1" pivotButton="0" quotePrefix="0" xfId="0">
      <alignment horizontal="left" vertical="center"/>
    </xf>
    <xf numFmtId="0" fontId="19" fillId="3" borderId="18" applyAlignment="1" pivotButton="0" quotePrefix="0" xfId="0">
      <alignment horizontal="left" vertical="center" indent="2"/>
    </xf>
    <xf numFmtId="0" fontId="19" fillId="3" borderId="18" applyAlignment="1" pivotButton="0" quotePrefix="0" xfId="0">
      <alignment horizontal="right" vertical="center" wrapText="1"/>
    </xf>
    <xf numFmtId="3" fontId="19" fillId="3" borderId="18" applyAlignment="1" pivotButton="0" quotePrefix="0" xfId="0">
      <alignment horizontal="right" vertical="center" wrapText="1"/>
    </xf>
    <xf numFmtId="1" fontId="0" fillId="0" borderId="0" pivotButton="0" quotePrefix="0" xfId="0"/>
    <xf numFmtId="10" fontId="0" fillId="0" borderId="0" pivotButton="0" quotePrefix="0" xfId="2"/>
    <xf numFmtId="165" fontId="0" fillId="0" borderId="0" pivotButton="0" quotePrefix="0" xfId="0"/>
    <xf numFmtId="167" fontId="9" fillId="0" borderId="0" applyAlignment="1" pivotButton="0" quotePrefix="0" xfId="0">
      <alignment horizontal="right" vertical="center"/>
    </xf>
    <xf numFmtId="0" fontId="9" fillId="0" borderId="12" pivotButton="0" quotePrefix="0" xfId="0"/>
    <xf numFmtId="0" fontId="3" fillId="0" borderId="12" pivotButton="0" quotePrefix="0" xfId="0"/>
    <xf numFmtId="3" fontId="9" fillId="0" borderId="12" pivotButton="0" quotePrefix="0" xfId="0"/>
    <xf numFmtId="9" fontId="3" fillId="0" borderId="12" pivotButton="0" quotePrefix="0" xfId="0"/>
    <xf numFmtId="3" fontId="3" fillId="0" borderId="12" pivotButton="0" quotePrefix="0" xfId="0"/>
    <xf numFmtId="0" fontId="0" fillId="0" borderId="0" applyAlignment="1" pivotButton="0" quotePrefix="0" xfId="0">
      <alignment horizontal="left"/>
    </xf>
    <xf numFmtId="0" fontId="14" fillId="0" borderId="19" applyAlignment="1" pivotButton="0" quotePrefix="0" xfId="0">
      <alignment vertical="center"/>
    </xf>
    <xf numFmtId="0" fontId="0" fillId="0" borderId="19" pivotButton="0" quotePrefix="0" xfId="0"/>
    <xf numFmtId="0" fontId="14" fillId="0" borderId="20" applyAlignment="1" pivotButton="0" quotePrefix="0" xfId="0">
      <alignment vertical="center"/>
    </xf>
    <xf numFmtId="0" fontId="38" fillId="0" borderId="14" pivotButton="0" quotePrefix="0" xfId="0"/>
    <xf numFmtId="1" fontId="1" fillId="0" borderId="20" applyAlignment="1" pivotButton="0" quotePrefix="0" xfId="0">
      <alignment horizontal="right"/>
    </xf>
    <xf numFmtId="164" fontId="0" fillId="0" borderId="19" pivotButton="0" quotePrefix="0" xfId="2"/>
    <xf numFmtId="14" fontId="0" fillId="0" borderId="19" pivotButton="0" quotePrefix="0" xfId="0"/>
    <xf numFmtId="0" fontId="0" fillId="0" borderId="19" applyAlignment="1" pivotButton="0" quotePrefix="0" xfId="0">
      <alignment horizontal="right"/>
    </xf>
    <xf numFmtId="0" fontId="1" fillId="9" borderId="19" pivotButton="0" quotePrefix="0" xfId="0"/>
    <xf numFmtId="1" fontId="1" fillId="10" borderId="20" pivotButton="0" quotePrefix="0" xfId="0"/>
    <xf numFmtId="0" fontId="13" fillId="0" borderId="19" applyAlignment="1" pivotButton="0" quotePrefix="0" xfId="0">
      <alignment vertical="center"/>
    </xf>
    <xf numFmtId="0" fontId="13" fillId="0" borderId="20" applyAlignment="1" pivotButton="0" quotePrefix="0" xfId="0">
      <alignment vertical="center"/>
    </xf>
    <xf numFmtId="3" fontId="0" fillId="0" borderId="20" pivotButton="0" quotePrefix="0" xfId="0"/>
    <xf numFmtId="3" fontId="0" fillId="0" borderId="19" pivotButton="0" quotePrefix="0" xfId="0"/>
    <xf numFmtId="1" fontId="0" fillId="0" borderId="19" pivotButton="0" quotePrefix="0" xfId="0"/>
    <xf numFmtId="1" fontId="29" fillId="2" borderId="0" applyAlignment="1" pivotButton="0" quotePrefix="0" xfId="0">
      <alignment horizontal="right" vertical="center"/>
    </xf>
    <xf numFmtId="0" fontId="40" fillId="2" borderId="11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left" vertical="top" wrapText="1"/>
    </xf>
    <xf numFmtId="0" fontId="42" fillId="0" borderId="11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8" fillId="0" borderId="4" applyAlignment="1" pivotButton="0" quotePrefix="0" xfId="0">
      <alignment horizontal="left"/>
    </xf>
    <xf numFmtId="0" fontId="36" fillId="0" borderId="21" applyAlignment="1" pivotButton="0" quotePrefix="0" xfId="0">
      <alignment horizontal="left" vertical="top" wrapText="1"/>
    </xf>
    <xf numFmtId="0" fontId="36" fillId="0" borderId="0" applyAlignment="1" pivotButton="0" quotePrefix="0" xfId="0">
      <alignment horizontal="left" vertical="top" wrapText="1"/>
    </xf>
    <xf numFmtId="0" fontId="0" fillId="0" borderId="21" applyAlignment="1" pivotButton="0" quotePrefix="0" xfId="0">
      <alignment horizontal="left" vertical="top" wrapText="1"/>
    </xf>
    <xf numFmtId="0" fontId="13" fillId="0" borderId="21" applyAlignment="1" pivotButton="0" quotePrefix="0" xfId="0">
      <alignment horizontal="left" vertical="top" wrapText="1"/>
    </xf>
    <xf numFmtId="0" fontId="35" fillId="11" borderId="0" applyAlignment="1" pivotButton="0" quotePrefix="0" xfId="0">
      <alignment horizontal="left" vertical="center"/>
    </xf>
    <xf numFmtId="0" fontId="35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7" fillId="0" borderId="14" applyAlignment="1" pivotButton="0" quotePrefix="0" xfId="0">
      <alignment horizontal="left"/>
    </xf>
    <xf numFmtId="0" fontId="39" fillId="2" borderId="0" applyAlignment="1" pivotButton="0" quotePrefix="0" xfId="0">
      <alignment horizontal="left" vertical="top" wrapText="1"/>
    </xf>
    <xf numFmtId="0" fontId="3" fillId="2" borderId="0" pivotButton="0" quotePrefix="0" xfId="0"/>
    <xf numFmtId="0" fontId="2" fillId="2" borderId="0" applyAlignment="1" pivotButton="0" quotePrefix="0" xfId="0">
      <alignment horizontal="left" vertical="top" wrapText="1"/>
    </xf>
    <xf numFmtId="0" fontId="6" fillId="2" borderId="0" pivotButton="0" quotePrefix="0" xfId="0"/>
    <xf numFmtId="0" fontId="43" fillId="2" borderId="0" applyAlignment="1" pivotButton="0" quotePrefix="0" xfId="0">
      <alignment horizontal="center"/>
    </xf>
    <xf numFmtId="164" fontId="0" fillId="0" borderId="19" pivotButton="0" quotePrefix="0" xfId="2"/>
    <xf numFmtId="0" fontId="0" fillId="0" borderId="4" pivotButton="0" quotePrefix="0" xfId="0"/>
    <xf numFmtId="0" fontId="0" fillId="0" borderId="21" pivotButton="0" quotePrefix="0" xfId="0"/>
    <xf numFmtId="164" fontId="3" fillId="0" borderId="11" applyAlignment="1" pivotButton="0" quotePrefix="0" xfId="0">
      <alignment horizontal="right" vertical="center"/>
    </xf>
    <xf numFmtId="164" fontId="31" fillId="0" borderId="11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 vertical="center"/>
    </xf>
    <xf numFmtId="165" fontId="3" fillId="0" borderId="0" applyAlignment="1" pivotButton="0" quotePrefix="0" xfId="1">
      <alignment horizontal="right"/>
    </xf>
    <xf numFmtId="164" fontId="3" fillId="0" borderId="0" pivotButton="0" quotePrefix="0" xfId="0"/>
    <xf numFmtId="165" fontId="3" fillId="0" borderId="0" pivotButton="0" quotePrefix="0" xfId="1"/>
    <xf numFmtId="165" fontId="9" fillId="0" borderId="0" pivotButton="0" quotePrefix="0" xfId="1"/>
    <xf numFmtId="164" fontId="3" fillId="0" borderId="0" pivotButton="0" quotePrefix="0" xfId="2"/>
    <xf numFmtId="165" fontId="0" fillId="0" borderId="0" pivotButton="0" quotePrefix="0" xfId="0"/>
    <xf numFmtId="166" fontId="3" fillId="0" borderId="0" pivotButton="0" quotePrefix="0" xfId="0"/>
    <xf numFmtId="165" fontId="9" fillId="0" borderId="5" pivotButton="0" quotePrefix="0" xfId="1"/>
    <xf numFmtId="164" fontId="31" fillId="5" borderId="15" applyAlignment="1" pivotButton="0" quotePrefix="0" xfId="0">
      <alignment horizontal="right" vertical="center"/>
    </xf>
    <xf numFmtId="164" fontId="31" fillId="5" borderId="12" applyAlignment="1" pivotButton="0" quotePrefix="0" xfId="0">
      <alignment horizontal="right" vertical="center"/>
    </xf>
    <xf numFmtId="164" fontId="24" fillId="4" borderId="12" applyAlignment="1" pivotButton="0" quotePrefix="0" xfId="0">
      <alignment horizontal="right" vertical="center"/>
    </xf>
    <xf numFmtId="164" fontId="24" fillId="5" borderId="12" applyAlignment="1" pivotButton="0" quotePrefix="0" xfId="0">
      <alignment horizontal="right" vertical="center"/>
    </xf>
    <xf numFmtId="164" fontId="27" fillId="4" borderId="12" applyAlignment="1" pivotButton="0" quotePrefix="0" xfId="0">
      <alignment horizontal="right" vertical="center"/>
    </xf>
    <xf numFmtId="164" fontId="24" fillId="0" borderId="0" applyAlignment="1" pivotButton="0" quotePrefix="0" xfId="0">
      <alignment horizontal="right" vertical="center"/>
    </xf>
    <xf numFmtId="164" fontId="32" fillId="5" borderId="12" applyAlignment="1" pivotButton="0" quotePrefix="0" xfId="0">
      <alignment horizontal="right" vertical="center"/>
    </xf>
    <xf numFmtId="165" fontId="9" fillId="0" borderId="0" pivotButton="0" quotePrefix="0" xfId="0"/>
    <xf numFmtId="164" fontId="14" fillId="4" borderId="11" applyAlignment="1" pivotButton="0" quotePrefix="0" xfId="0">
      <alignment horizontal="right" vertical="center"/>
    </xf>
    <xf numFmtId="164" fontId="12" fillId="5" borderId="13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164" fontId="12" fillId="5" borderId="16" applyAlignment="1" pivotButton="0" quotePrefix="0" xfId="0">
      <alignment horizontal="center" vertical="center"/>
    </xf>
    <xf numFmtId="168" fontId="3" fillId="0" borderId="12" applyAlignment="1" pivotButton="0" quotePrefix="0" xfId="0">
      <alignment horizontal="center"/>
    </xf>
    <xf numFmtId="168" fontId="13" fillId="0" borderId="12" applyAlignment="1" pivotButton="0" quotePrefix="0" xfId="0">
      <alignment horizontal="center" vertical="center"/>
    </xf>
    <xf numFmtId="164" fontId="12" fillId="5" borderId="17" applyAlignment="1" pivotButton="0" quotePrefix="0" xfId="0">
      <alignment horizontal="center" vertical="center"/>
    </xf>
    <xf numFmtId="167" fontId="3" fillId="0" borderId="11" applyAlignment="1" pivotButton="0" quotePrefix="0" xfId="0">
      <alignment horizontal="right" vertical="center"/>
    </xf>
    <xf numFmtId="167" fontId="3" fillId="7" borderId="11" applyAlignment="1" pivotButton="0" quotePrefix="0" xfId="0">
      <alignment horizontal="right" vertical="center"/>
    </xf>
    <xf numFmtId="167" fontId="3" fillId="5" borderId="11" applyAlignment="1" pivotButton="0" quotePrefix="0" xfId="0">
      <alignment horizontal="right" vertical="center"/>
    </xf>
    <xf numFmtId="167" fontId="9" fillId="5" borderId="11" applyAlignment="1" pivotButton="0" quotePrefix="0" xfId="0">
      <alignment horizontal="right" vertical="center"/>
    </xf>
    <xf numFmtId="167" fontId="9" fillId="0" borderId="0" applyAlignment="1" pivotButton="0" quotePrefix="0" xfId="0">
      <alignment horizontal="right" vertical="center"/>
    </xf>
    <xf numFmtId="164" fontId="14" fillId="0" borderId="0" applyAlignment="1" pivotButton="0" quotePrefix="0" xfId="2">
      <alignment horizontal="right" vertical="center"/>
    </xf>
    <xf numFmtId="164" fontId="21" fillId="0" borderId="1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164" fontId="14" fillId="0" borderId="11" applyAlignment="1" pivotButton="0" quotePrefix="0" xfId="0">
      <alignment horizontal="right" vertical="center"/>
    </xf>
    <xf numFmtId="164" fontId="0" fillId="0" borderId="0" pivotButton="0" quotePrefix="0" xfId="0"/>
    <xf numFmtId="168" fontId="0" fillId="0" borderId="0" pivotButton="0" quotePrefix="0" xfId="0"/>
    <xf numFmtId="168" fontId="21" fillId="0" borderId="11" applyAlignment="1" pivotButton="0" quotePrefix="0" xfId="0">
      <alignment horizontal="center" vertical="center"/>
    </xf>
    <xf numFmtId="168" fontId="31" fillId="0" borderId="11" applyAlignment="1" pivotButton="0" quotePrefix="0" xfId="0">
      <alignment horizontal="right" vertical="center"/>
    </xf>
    <xf numFmtId="3" fontId="3" fillId="0" borderId="12" applyAlignment="1" pivotButton="0" quotePrefix="0" xfId="0">
      <alignment horizontal="center"/>
    </xf>
    <xf numFmtId="3" fontId="13" fillId="0" borderId="12" applyAlignment="1" pivotButton="0" quotePrefix="0" xfId="0">
      <alignment horizontal="center" vertical="center"/>
    </xf>
    <xf numFmtId="168" fontId="3" fillId="0" borderId="11" applyAlignment="1" pivotButton="0" quotePrefix="0" xfId="0">
      <alignment horizontal="right" vertical="center"/>
    </xf>
    <xf numFmtId="168" fontId="3" fillId="7" borderId="11" applyAlignment="1" pivotButton="0" quotePrefix="0" xfId="0">
      <alignment horizontal="right" vertical="center"/>
    </xf>
    <xf numFmtId="0" fontId="25" fillId="0" borderId="14" pivotButton="0" quotePrefix="0" xfId="0"/>
    <xf numFmtId="168" fontId="3" fillId="5" borderId="11" applyAlignment="1" pivotButton="0" quotePrefix="0" xfId="0">
      <alignment horizontal="right" vertical="center"/>
    </xf>
    <xf numFmtId="0" fontId="25" fillId="6" borderId="11" applyAlignment="1" pivotButton="0" quotePrefix="0" xfId="0">
      <alignment horizontal="left" vertical="center"/>
    </xf>
    <xf numFmtId="0" fontId="25" fillId="6" borderId="11" applyAlignment="1" pivotButton="0" quotePrefix="0" xfId="0">
      <alignment horizontal="center" vertical="center"/>
    </xf>
    <xf numFmtId="168" fontId="3" fillId="5" borderId="11" applyAlignment="1" pivotButton="0" quotePrefix="0" xfId="2">
      <alignment horizontal="right" vertical="center"/>
    </xf>
    <xf numFmtId="3" fontId="29" fillId="2" borderId="0" applyAlignment="1" pivotButton="0" quotePrefix="0" xfId="0">
      <alignment horizontal="right" vertical="center"/>
    </xf>
    <xf numFmtId="3" fontId="13" fillId="0" borderId="0" applyAlignment="1" pivotButton="0" quotePrefix="0" xfId="0">
      <alignment horizontal="right" vertical="center"/>
    </xf>
    <xf numFmtId="3" fontId="3" fillId="0" borderId="0" pivotButton="0" quotePrefix="0" xfId="1"/>
    <xf numFmtId="3" fontId="0" fillId="0" borderId="0" pivotButton="0" quotePrefix="0" xfId="0"/>
  </cellXfs>
  <cellStyles count="3">
    <cellStyle name="Normal" xfId="0" builtinId="0"/>
    <cellStyle name="Comma" xfId="1" builtinId="3"/>
    <cellStyle name="Percent" xfId="2" builtinId="5"/>
  </cellStyles>
  <dxfs count="6"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"/>
        </patternFill>
      </fill>
    </dxf>
    <dxf>
      <fill>
        <patternFill>
          <bgColor theme="7" tint="0.5999633777886288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0" workbookViewId="0">
      <selection activeCell="B22" sqref="B22:F22"/>
    </sheetView>
  </sheetViews>
  <sheetFormatPr baseColWidth="8" defaultRowHeight="14.4"/>
  <cols>
    <col width="3.44140625" customWidth="1" style="191" min="1" max="1"/>
    <col width="31.5546875" bestFit="1" customWidth="1" style="191" min="2" max="2"/>
    <col width="19.21875" customWidth="1" style="191" min="3" max="3"/>
    <col width="32" customWidth="1" style="191" min="5" max="5"/>
    <col width="23.6640625" customWidth="1" style="191" min="6" max="6"/>
  </cols>
  <sheetData>
    <row r="1" ht="25.8" customHeight="1" s="191">
      <c r="A1" s="207" t="inlineStr">
        <is>
          <t>BLACK BOX LTD - INVESTMENT SUMMARY</t>
        </is>
      </c>
    </row>
    <row r="2">
      <c r="A2" s="193" t="inlineStr">
        <is>
          <t>NSE: BBOX  |  BSE: 500463  |  Sector: Digital Infrastructure / Enterprise Networking &amp; Systems Integration</t>
        </is>
      </c>
    </row>
    <row r="3">
      <c r="B3" s="170" t="n"/>
      <c r="C3" s="170" t="n"/>
      <c r="D3" s="170" t="n"/>
      <c r="E3" s="170" t="n"/>
    </row>
    <row r="4" ht="15" customHeight="1" s="191" thickBot="1">
      <c r="B4" s="174" t="inlineStr">
        <is>
          <t>RECOMMENDATION &amp; TARGET</t>
        </is>
      </c>
      <c r="C4" s="84" t="n"/>
    </row>
    <row r="5">
      <c r="B5" s="173" t="inlineStr">
        <is>
          <t>Recommendation</t>
        </is>
      </c>
      <c r="C5" s="175">
        <f>Summary!B19</f>
        <v/>
      </c>
    </row>
    <row r="6">
      <c r="B6" s="171" t="inlineStr">
        <is>
          <t>Current Price (INR, ~12-Aug-2026)</t>
        </is>
      </c>
      <c r="C6" s="179" t="n">
        <v>830</v>
      </c>
    </row>
    <row r="7">
      <c r="B7" s="171" t="inlineStr">
        <is>
          <t>Target Price (INR, blended)</t>
        </is>
      </c>
      <c r="C7" s="180">
        <f>Summary!B16</f>
        <v/>
      </c>
    </row>
    <row r="8">
      <c r="B8" s="171" t="inlineStr">
        <is>
          <t>Upside / (Downside)</t>
        </is>
      </c>
      <c r="C8" s="208">
        <f>C7/C6-1</f>
        <v/>
      </c>
    </row>
    <row r="9">
      <c r="B9" s="171" t="inlineStr">
        <is>
          <t>Valuation date</t>
        </is>
      </c>
      <c r="C9" s="177">
        <f>TODAY()</f>
        <v/>
      </c>
    </row>
    <row r="10">
      <c r="B10" s="171" t="inlineStr">
        <is>
          <t>Prepared by</t>
        </is>
      </c>
      <c r="C10" s="178" t="inlineStr">
        <is>
          <t>Om Prakash Panda</t>
        </is>
      </c>
    </row>
    <row r="12" ht="15" customHeight="1" s="191" thickBot="1">
      <c r="B12" s="174" t="inlineStr">
        <is>
          <t>VALUATION SUMMARY (INR/share)</t>
        </is>
      </c>
      <c r="C12" s="84" t="n"/>
    </row>
    <row r="13">
      <c r="B13" s="182" t="inlineStr">
        <is>
          <t>DCF (intrinsic; WACC ~13.9%, g 5%, mid-year)</t>
        </is>
      </c>
      <c r="C13" s="183">
        <f>DCF!C41</f>
        <v/>
      </c>
    </row>
    <row r="14">
      <c r="B14" s="181" t="inlineStr">
        <is>
          <t>Relative (26x FY27E EPS, base)</t>
        </is>
      </c>
      <c r="C14" s="184">
        <f>Relative!F20</f>
        <v/>
      </c>
    </row>
    <row r="15">
      <c r="B15" s="181" t="inlineStr">
        <is>
          <t>EV/EBITDA cross-check (15x FY27E)</t>
        </is>
      </c>
      <c r="C15" s="185">
        <f>Summary!B14</f>
        <v/>
      </c>
    </row>
    <row r="16">
      <c r="B16" s="181" t="inlineStr">
        <is>
          <t>Blended target</t>
        </is>
      </c>
      <c r="C16" s="180">
        <f>Summary!B16</f>
        <v/>
      </c>
    </row>
    <row r="17">
      <c r="B17" s="181" t="inlineStr">
        <is>
          <t>Street coverage: thin (2-3 analysts); MF ownership ~0%</t>
        </is>
      </c>
      <c r="C17" s="172" t="n"/>
    </row>
    <row r="19" ht="15" customHeight="1" s="191" thickBot="1">
      <c r="B19" s="194" t="inlineStr">
        <is>
          <t>INVESTMENT THESIS</t>
        </is>
      </c>
      <c r="C19" s="209" t="n"/>
      <c r="D19" s="209" t="n"/>
      <c r="E19" s="209" t="n"/>
      <c r="F19" s="209" t="n"/>
    </row>
    <row r="20" ht="57.6" customHeight="1" s="191">
      <c r="B20" s="190" t="inlineStr">
        <is>
          <t>The market treats Black Box as a de-risked Indian proxy for the global AI / data-centre infrastructure build-out and prices it at ~50-70x trailing earnings on the promise of a US$2bn-by-FY30 revenue plan. My research suggests the business, though genuinely turned around (EBITDA margin ~4%-&gt;9%, net worth negative-&gt;Rs1,287cr), remains a thin-margin (~9%), cash-light, no-pricing-power systems integrator with high customer/geographic concentration, a heavy Essar/Ruia promoter overhang and a growth plan already running behind its own timeline (FY26 revenue guidance cut; US$2bn target slipped FY29-&gt;FY30). At the current price there is little margin of safety.</t>
        </is>
      </c>
    </row>
    <row r="22" ht="15" customHeight="1" s="191" thickBot="1">
      <c r="B22" s="194" t="inlineStr">
        <is>
          <t>THREE CORE INVESTMENT PILLARS</t>
        </is>
      </c>
      <c r="C22" s="209" t="n"/>
      <c r="D22" s="209" t="n"/>
      <c r="E22" s="209" t="n"/>
      <c r="F22" s="209" t="n"/>
    </row>
    <row r="23">
      <c r="B23" s="195" t="inlineStr">
        <is>
          <t>Pillar 1 - Genuine operational turnaround, but now fully priced</t>
        </is>
      </c>
      <c r="C23" s="210" t="n"/>
      <c r="D23" s="210" t="n"/>
      <c r="E23" s="210" t="n"/>
      <c r="F23" s="210" t="n"/>
    </row>
    <row r="24" ht="43.8" customHeight="1" s="191">
      <c r="B24" s="190" t="inlineStr">
        <is>
          <t>From a distressed, negative-net-worth 2019 merger, BB lifted EBITDA margin from ~4% (FY23) to ~9% (FY26), repaired the balance sheet and built a US$949mn backlog with 20-year Fortune-500 relationships (Bank of America the largest). The improvement is real and largely structural - but the equity already capitalises it at a premium to global peers.</t>
        </is>
      </c>
    </row>
    <row r="25">
      <c r="B25" s="196" t="inlineStr">
        <is>
          <t>Pillar 2 - AI/data-centre exposure is real but indirect, thin-margin and input-constrained</t>
        </is>
      </c>
    </row>
    <row r="26" ht="46.2" customHeight="1" s="191">
      <c r="B26" s="190" t="inlineStr">
        <is>
          <t>BB sells deployment labour, fibre and cabling into hyperscaler builds (DC mix 17%-&gt;~30%), not compute/GPUs, and wins on technical merit, not price. FY26 showed backlog can be delayed by fibre/GPU/power shortages outside BB's control. It is a participant in the capex wave, not a driver, and a tiny slice of each customer's budget.</t>
        </is>
      </c>
    </row>
    <row r="27">
      <c r="B27" s="196" t="inlineStr">
        <is>
          <t>Pillar 3 - Earnings quality and cash conversion are the swing factors the market underweights</t>
        </is>
      </c>
    </row>
    <row r="28" ht="46.2" customHeight="1" s="191">
      <c r="B28" s="190" t="inlineStr">
        <is>
          <t>Reported PAT is flattered by a ~8-10% NOL-driven tax rate (normalising to ~18-20% in the model) and by excluding 7+ quarters of 'exceptionals'; revenue was ~flat at ~Rs6,000cr for four years and free cash flow is weak/volatile (CFO negative in FY25) as growth consumes ~0.2-0.3x working capital. The US$2bn plan leans on ~Rs6,000cr of unproven serial M&amp;A.</t>
        </is>
      </c>
    </row>
    <row r="30">
      <c r="B30" s="200" t="inlineStr">
        <is>
          <t>KEY CATALYSTS (+)</t>
        </is>
      </c>
      <c r="E30" s="199" t="inlineStr">
        <is>
          <t>KEY RISKS (-)</t>
        </is>
      </c>
    </row>
    <row r="31">
      <c r="B31" s="190" t="inlineStr">
        <is>
          <t>- Sustained order booking &gt;US$300-350mn/quarter</t>
        </is>
      </c>
      <c r="E31" s="190" t="inlineStr">
        <is>
          <t>- Premium multiple (~50-70x) =&gt; de-rating risk; little margin of safety</t>
        </is>
      </c>
    </row>
    <row r="32">
      <c r="B32" s="190" t="inlineStr">
        <is>
          <t>- Repeatable hyperscaler DC wins with annuity tails</t>
        </is>
      </c>
      <c r="E32" s="190" t="inlineStr">
        <is>
          <t>- Guidance-delivery risk (FY26 cut; FY30 target slipped a year)</t>
        </is>
      </c>
    </row>
    <row r="33">
      <c r="B33" s="190" t="inlineStr">
        <is>
          <t>- EBITDA margin crossing 10%; exceptionals ending</t>
        </is>
      </c>
      <c r="E33" s="190" t="inlineStr">
        <is>
          <t>- Weak/volatile FCF; receivables spike (DSO ~67 in FY26)</t>
        </is>
      </c>
    </row>
    <row r="34">
      <c r="B34" s="190" t="inlineStr">
        <is>
          <t>- Cross-sell into 20-yr Fortune-500 base; managed-services attach</t>
        </is>
      </c>
      <c r="E34" s="190" t="inlineStr">
        <is>
          <t>- Customer concentration (top 10 ~51%; Bank of America largest)</t>
        </is>
      </c>
    </row>
    <row r="35">
      <c r="B35" s="190" t="inlineStr">
        <is>
          <t>- First clean FCF-positive year; institutional/MF entry</t>
        </is>
      </c>
      <c r="E35" s="190" t="inlineStr">
        <is>
          <t>- Promoter/governance overhang (Essar/Ruia); tax normalisation</t>
        </is>
      </c>
    </row>
    <row r="36">
      <c r="B36" s="190" t="inlineStr">
        <is>
          <t>- Accretive, disciplined M&amp;A (2S-style)</t>
        </is>
      </c>
      <c r="E36" s="190" t="inlineStr">
        <is>
          <t>- FX (94% non-INR revenue); supply-chain (fibre/GPU/power)</t>
        </is>
      </c>
    </row>
    <row r="38" ht="15" customHeight="1" s="191" thickBot="1">
      <c r="B38" s="194" t="inlineStr">
        <is>
          <t>DETAILED INVESTMENT VIEW</t>
        </is>
      </c>
      <c r="C38" s="209" t="n"/>
      <c r="D38" s="209" t="n"/>
      <c r="E38" s="209" t="n"/>
      <c r="F38" s="209" t="n"/>
    </row>
    <row r="39" ht="70.2" customHeight="1" s="191">
      <c r="B39" s="198" t="inlineStr">
        <is>
          <t>Black Box has earned respect for execution: a small Indian company (AGC Networks) acquired the distressed, larger US-listed Black Box Corporation for ~US$17mn of equity in 2019 and turned it into a ~Rs6,300cr, ~9% EBITDA-margin global integrator with an enviable, sticky Fortune-500 client base. The FY26 backlog (US$792mn-&gt;US$949mn by Q1FY27) and the DC pivot give a credible growth narrative. But three facts temper enthusiasm: revenue was essentially flat FY22-FY26; free cash flow has been thin and often negative; and reported profit is flattered by a temporary tax rate and recurring 'exceptionals'.</t>
        </is>
      </c>
      <c r="C39" s="210" t="n"/>
      <c r="D39" s="210" t="n"/>
      <c r="E39" s="210" t="n"/>
      <c r="F39" s="210" t="n"/>
    </row>
    <row r="40" ht="58.2" customHeight="1" s="191">
      <c r="B40" s="190" t="inlineStr">
        <is>
          <t>The valuation is built bottom-up across three methods. The DCF is the disciplined anchor: with Rf 6.8%, ERP 7.0% and a small-cap/specific-risk beta of ~1.30, cost of equity is ~15.9% and WACC ~15.1% (materially above the auto-template's 12.7% because BB is a smaller, riskier, promoter-controlled, cyclical name); at 6% terminal growth the FY27E-FY32E free cash flows discount to an intrinsic value well below the current price - i.e., today's price already embeds success.</t>
        </is>
      </c>
    </row>
    <row r="41" ht="72.59999999999999" customHeight="1" s="191">
      <c r="B41" s="190" t="inlineStr">
        <is>
          <t>Relative valuation is where the mispricing is clearest. BB's true economic peers - WESCO (~22x P/E), Insight (~15x), Kyndryl (~5.5x EV/EBITDA), Redington (~16x), HCLTech (~19x), Allied Digital (~13x) - trade at a fraction of BB's ~65-70x. Even a generous 25x base target on FY27E EPS (a premium to peers for growth/DC exposure) sits far below the current multiple, implying limited-to-negative upside. The EV/EBITDA cross-check (15x FY27E EBITDA) corroborates.</t>
        </is>
      </c>
    </row>
    <row r="42" ht="85.8" customHeight="1" s="191">
      <c r="B42" s="190" t="inlineStr">
        <is>
          <t>Triangulating DCF (40%), Relative (40%) and EV/EBITDA (20%) yields the blended target on the Summary sheet. The core thesis on why the market is mispricing the stock: it is extrapolating a thematic AI/DC narrative onto a thin-margin, cash-light integrator whose organic growth is unproven over a cycle, whose earnings quality is flattered, and whose promoter carries a heavy governance legacy - none of which supports a multiple that prices flawless execution as a certainty.</t>
        </is>
      </c>
    </row>
    <row r="43" ht="57" customHeight="1" s="191">
      <c r="B43" s="190" t="inlineStr">
        <is>
          <t>Return profile: base case tracks the blended target (see Summary); bull case requires sustained ~20% organic growth, margins &gt;10.5% and clean FCF (justifying a higher multiple); bear case (AI-capex digestion, dilutive raise, governance event, tax normalisation) implies a &gt;50% de-rating. The skew from today's price is unfavourable - downside to a DCF floor well below price against limited upside unless the aggressive plan is delivered.</t>
        </is>
      </c>
    </row>
    <row r="45" ht="15" customHeight="1" s="191" thickBot="1">
      <c r="B45" s="194" t="inlineStr">
        <is>
          <t>INSTITUTIONAL CONCLUSION</t>
        </is>
      </c>
      <c r="C45" s="209" t="n"/>
      <c r="D45" s="209" t="n"/>
      <c r="E45" s="209" t="n"/>
      <c r="F45" s="209" t="n"/>
    </row>
    <row r="46" ht="73.2" customHeight="1" s="191">
      <c r="B46" s="197" t="inlineStr">
        <is>
          <t>We initiate with a cautious stance: NEUTRAL-to-underweight on the equity (constructive on the business, cautious on the stock). Black Box is a much-improved, blue-chip-anchored integrator riding a genuine capex super-cycle, but at ~50-70x earnings, with thin margins, weak cash conversion, high concentration and a promoter overhang, the risk/reward at the current price is unattractive. We would turn constructive on a meaningful de-rating or on 2+ quarters of proven organic growth and positive free cash flow. See Summary sheet for the model-derived blended target and recommendation.</t>
        </is>
      </c>
      <c r="C46" s="210" t="n"/>
      <c r="D46" s="210" t="n"/>
      <c r="E46" s="210" t="n"/>
      <c r="F46" s="210" t="n"/>
    </row>
  </sheetData>
  <mergeCells count="33">
    <mergeCell ref="B25:F25"/>
    <mergeCell ref="E33:F33"/>
    <mergeCell ref="B46:F46"/>
    <mergeCell ref="B22:F22"/>
    <mergeCell ref="B27:F27"/>
    <mergeCell ref="B34:D34"/>
    <mergeCell ref="A2:F2"/>
    <mergeCell ref="B43:F43"/>
    <mergeCell ref="E35:F35"/>
    <mergeCell ref="B39:F39"/>
    <mergeCell ref="B42:F42"/>
    <mergeCell ref="B23:F23"/>
    <mergeCell ref="B30:D30"/>
    <mergeCell ref="E31:F31"/>
    <mergeCell ref="B33:D33"/>
    <mergeCell ref="E34:F34"/>
    <mergeCell ref="B36:D36"/>
    <mergeCell ref="E30:F30"/>
    <mergeCell ref="B38:F38"/>
    <mergeCell ref="B28:F28"/>
    <mergeCell ref="B32:D32"/>
    <mergeCell ref="B35:D35"/>
    <mergeCell ref="B19:F19"/>
    <mergeCell ref="E36:F36"/>
    <mergeCell ref="B40:F40"/>
    <mergeCell ref="B24:F24"/>
    <mergeCell ref="B31:D31"/>
    <mergeCell ref="B20:F20"/>
    <mergeCell ref="E32:F32"/>
    <mergeCell ref="A1:F1"/>
    <mergeCell ref="B45:F45"/>
    <mergeCell ref="B26:F26"/>
    <mergeCell ref="B41:F41"/>
  </mergeCells>
  <conditionalFormatting sqref="C5">
    <cfRule type="cellIs" priority="1" operator="equal" dxfId="0">
      <formula>"BUY"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1"/>
  <sheetViews>
    <sheetView showGridLines="0" tabSelected="1" topLeftCell="A8" zoomScaleNormal="100" workbookViewId="0">
      <selection activeCell="A3" sqref="A3:A36"/>
    </sheetView>
  </sheetViews>
  <sheetFormatPr baseColWidth="8" defaultColWidth="13.109375" defaultRowHeight="14.4"/>
  <cols>
    <col width="52.21875" bestFit="1" customWidth="1" style="191" min="1" max="1"/>
  </cols>
  <sheetData>
    <row r="1" ht="18" customHeight="1" s="191">
      <c r="A1" s="192" t="inlineStr">
        <is>
          <t>BLACK BOX LTD - HISTORICAL FINANCIALS (CONSOLIDATED)</t>
        </is>
      </c>
    </row>
    <row r="3" ht="15" customHeight="1" s="191" thickBot="1">
      <c r="A3" s="13" t="inlineStr">
        <is>
          <t>INCOME STATEMENT (in Crs)</t>
        </is>
      </c>
      <c r="B3" s="14" t="inlineStr">
        <is>
          <t>FY 17</t>
        </is>
      </c>
      <c r="C3" s="14" t="inlineStr">
        <is>
          <t>FY 18</t>
        </is>
      </c>
      <c r="D3" s="14" t="inlineStr">
        <is>
          <t>FY 19</t>
        </is>
      </c>
      <c r="E3" s="14" t="inlineStr">
        <is>
          <t>FY 20</t>
        </is>
      </c>
      <c r="F3" s="14" t="inlineStr">
        <is>
          <t>FY 21</t>
        </is>
      </c>
      <c r="G3" s="14" t="inlineStr">
        <is>
          <t>FY 22</t>
        </is>
      </c>
      <c r="H3" s="14" t="inlineStr">
        <is>
          <t>FY 23</t>
        </is>
      </c>
      <c r="I3" s="14" t="inlineStr">
        <is>
          <t>FY 24</t>
        </is>
      </c>
      <c r="J3" s="14" t="inlineStr">
        <is>
          <t>FY 25</t>
        </is>
      </c>
      <c r="K3" s="14" t="inlineStr">
        <is>
          <t>FY 26</t>
        </is>
      </c>
    </row>
    <row r="4">
      <c r="A4" s="15" t="inlineStr">
        <is>
          <t>Revenue From Operations [Gross]</t>
        </is>
      </c>
      <c r="B4" s="16" t="n"/>
      <c r="C4" s="16" t="n"/>
      <c r="D4" s="16" t="n">
        <v>1853</v>
      </c>
      <c r="E4" s="16" t="n">
        <v>4994</v>
      </c>
      <c r="F4" s="16" t="n">
        <v>4674</v>
      </c>
      <c r="G4" s="16" t="n">
        <v>5370</v>
      </c>
      <c r="H4" s="16" t="n">
        <v>6288</v>
      </c>
      <c r="I4" s="16" t="n">
        <v>6282</v>
      </c>
      <c r="J4" s="16" t="n">
        <v>5967</v>
      </c>
      <c r="K4" s="16" t="n">
        <v>6322</v>
      </c>
    </row>
    <row r="5">
      <c r="A5" s="15" t="inlineStr">
        <is>
          <t>Less: Excise/Sevice Tax/Other Levies</t>
        </is>
      </c>
      <c r="B5" s="16" t="n"/>
      <c r="C5" s="16" t="n"/>
      <c r="D5" s="16" t="n">
        <v>0</v>
      </c>
      <c r="E5" s="16" t="n">
        <v>0</v>
      </c>
      <c r="F5" s="16" t="n">
        <v>0</v>
      </c>
      <c r="G5" s="16" t="n">
        <v>0</v>
      </c>
      <c r="H5" s="16" t="n">
        <v>0</v>
      </c>
      <c r="I5" s="16" t="n">
        <v>0</v>
      </c>
      <c r="J5" s="16" t="n">
        <v>0</v>
      </c>
      <c r="K5" s="16" t="n">
        <v>0</v>
      </c>
    </row>
    <row r="6" customFormat="1" s="1">
      <c r="A6" s="17" t="inlineStr">
        <is>
          <t>Revenue From Operations [Net]</t>
        </is>
      </c>
      <c r="B6" s="18" t="n"/>
      <c r="C6" s="18" t="n"/>
      <c r="D6" s="18" t="n">
        <v>1853</v>
      </c>
      <c r="E6" s="18" t="n">
        <v>4994</v>
      </c>
      <c r="F6" s="18" t="n">
        <v>4674</v>
      </c>
      <c r="G6" s="18" t="n">
        <v>5370</v>
      </c>
      <c r="H6" s="18" t="n">
        <v>6288</v>
      </c>
      <c r="I6" s="18" t="n">
        <v>6282</v>
      </c>
      <c r="J6" s="18" t="n">
        <v>5967</v>
      </c>
      <c r="K6" s="18" t="n">
        <v>6322</v>
      </c>
    </row>
    <row r="7">
      <c r="A7" s="15" t="inlineStr">
        <is>
          <t>Other Operating Revenues</t>
        </is>
      </c>
      <c r="B7" s="16" t="n"/>
      <c r="C7" s="16" t="n"/>
      <c r="D7" s="16" t="n">
        <v>297.41</v>
      </c>
      <c r="E7" s="16" t="n">
        <v>349.71</v>
      </c>
      <c r="F7" s="16" t="n">
        <v>0</v>
      </c>
      <c r="G7" s="16" t="n">
        <v>0</v>
      </c>
      <c r="H7" s="16" t="n">
        <v>0</v>
      </c>
      <c r="I7" s="16" t="n">
        <v>0</v>
      </c>
      <c r="J7" s="16" t="n">
        <v>0</v>
      </c>
      <c r="K7" s="16" t="n">
        <v>0</v>
      </c>
    </row>
    <row r="8">
      <c r="A8" s="15" t="inlineStr">
        <is>
          <t>Total Operating Revenues</t>
        </is>
      </c>
      <c r="B8" s="16" t="n"/>
      <c r="C8" s="16" t="n"/>
      <c r="D8" s="16" t="n">
        <v>1853</v>
      </c>
      <c r="E8" s="16" t="n">
        <v>4994</v>
      </c>
      <c r="F8" s="16" t="n">
        <v>4674</v>
      </c>
      <c r="G8" s="16" t="n">
        <v>5370</v>
      </c>
      <c r="H8" s="16" t="n">
        <v>6288</v>
      </c>
      <c r="I8" s="16" t="n">
        <v>6282</v>
      </c>
      <c r="J8" s="16" t="n">
        <v>5967</v>
      </c>
      <c r="K8" s="16" t="n">
        <v>6322</v>
      </c>
    </row>
    <row r="9">
      <c r="A9" s="19" t="inlineStr">
        <is>
          <t>Other Income</t>
        </is>
      </c>
      <c r="B9" s="20" t="n"/>
      <c r="C9" s="20" t="n"/>
      <c r="D9" s="20" t="n">
        <v>7.54</v>
      </c>
      <c r="E9" s="20" t="n">
        <v>32.1</v>
      </c>
      <c r="F9" s="20" t="n">
        <v>11</v>
      </c>
      <c r="G9" s="20" t="n">
        <v>6</v>
      </c>
      <c r="H9" s="20" t="n">
        <v>22</v>
      </c>
      <c r="I9" s="20" t="n">
        <v>19</v>
      </c>
      <c r="J9" s="20" t="n">
        <v>5</v>
      </c>
      <c r="K9" s="20" t="n">
        <v>6</v>
      </c>
    </row>
    <row r="10">
      <c r="A10" s="21" t="inlineStr">
        <is>
          <t>Total Revenue</t>
        </is>
      </c>
      <c r="B10" s="22" t="n"/>
      <c r="C10" s="22" t="n"/>
      <c r="D10" s="22" t="n">
        <v>1853</v>
      </c>
      <c r="E10" s="22" t="n">
        <v>4994</v>
      </c>
      <c r="F10" s="22" t="n">
        <v>4685</v>
      </c>
      <c r="G10" s="22" t="n">
        <v>5376</v>
      </c>
      <c r="H10" s="22" t="n">
        <v>6310</v>
      </c>
      <c r="I10" s="22" t="n">
        <v>6301</v>
      </c>
      <c r="J10" s="22" t="n">
        <v>5972</v>
      </c>
      <c r="K10" s="22" t="n">
        <v>6328</v>
      </c>
    </row>
    <row r="11">
      <c r="A11" s="23" t="inlineStr">
        <is>
          <t>EXPENSES</t>
        </is>
      </c>
      <c r="B11" s="24" t="n"/>
      <c r="C11" s="24" t="n"/>
      <c r="D11" s="24" t="n"/>
      <c r="E11" s="24" t="n"/>
      <c r="F11" s="25" t="n"/>
      <c r="G11" s="24" t="n"/>
      <c r="H11" s="24" t="n"/>
      <c r="I11" s="24" t="n"/>
      <c r="J11" s="24" t="n"/>
      <c r="K11" s="25" t="n"/>
    </row>
    <row r="12">
      <c r="A12" s="15" t="inlineStr">
        <is>
          <t>Cost of Revenue (hardware, materials &amp; subcontracting)</t>
        </is>
      </c>
      <c r="B12" s="16" t="n"/>
      <c r="C12" s="16" t="n"/>
      <c r="D12" s="16" t="n">
        <v>13672.8</v>
      </c>
      <c r="E12" s="16" t="n">
        <v>11854.8</v>
      </c>
      <c r="F12" s="16" t="n">
        <v>3177</v>
      </c>
      <c r="G12" s="16" t="n">
        <v>3821</v>
      </c>
      <c r="H12" s="16" t="n">
        <v>4648</v>
      </c>
      <c r="I12" s="16" t="n">
        <v>4568</v>
      </c>
      <c r="J12" s="16" t="n">
        <v>4173</v>
      </c>
      <c r="K12" s="16" t="n">
        <v>4392</v>
      </c>
    </row>
    <row r="13">
      <c r="A13" s="15" t="inlineStr">
        <is>
          <t>Purchase Of Stock-In Trade</t>
        </is>
      </c>
      <c r="B13" s="16" t="n"/>
      <c r="C13" s="16" t="n"/>
      <c r="D13" s="16" t="n">
        <v>244.84</v>
      </c>
      <c r="E13" s="16" t="n">
        <v>259.2</v>
      </c>
      <c r="F13" s="16" t="n">
        <v>0</v>
      </c>
      <c r="G13" s="16" t="n">
        <v>0</v>
      </c>
      <c r="H13" s="16" t="n">
        <v>0</v>
      </c>
      <c r="I13" s="16" t="n">
        <v>0</v>
      </c>
      <c r="J13" s="16" t="n">
        <v>0</v>
      </c>
      <c r="K13" s="16" t="n">
        <v>0</v>
      </c>
    </row>
    <row r="14">
      <c r="A14" s="15" t="inlineStr">
        <is>
          <t>Changes In Inventories Of FG,WIP And Stock-In Trade</t>
        </is>
      </c>
      <c r="B14" s="16" t="n"/>
      <c r="C14" s="16" t="n"/>
      <c r="D14" s="16" t="n">
        <v>-75.37</v>
      </c>
      <c r="E14" s="16" t="n">
        <v>21.93</v>
      </c>
      <c r="F14" s="16" t="n">
        <v>0</v>
      </c>
      <c r="G14" s="16" t="n">
        <v>0</v>
      </c>
      <c r="H14" s="16" t="n">
        <v>0</v>
      </c>
      <c r="I14" s="16" t="n">
        <v>0</v>
      </c>
      <c r="J14" s="16" t="n">
        <v>0</v>
      </c>
      <c r="K14" s="16" t="n">
        <v>0</v>
      </c>
    </row>
    <row r="15">
      <c r="A15" s="15" t="inlineStr">
        <is>
          <t>Employee &amp; Other Operating Expenses (SG&amp;A)</t>
        </is>
      </c>
      <c r="B15" s="16" t="n"/>
      <c r="C15" s="16" t="n"/>
      <c r="D15" s="16" t="n">
        <v>922.63</v>
      </c>
      <c r="E15" s="16" t="n">
        <v>938.41</v>
      </c>
      <c r="F15" s="16" t="n">
        <v>1145</v>
      </c>
      <c r="G15" s="16" t="n">
        <v>1289</v>
      </c>
      <c r="H15" s="16" t="n">
        <v>1370</v>
      </c>
      <c r="I15" s="16" t="n">
        <v>1286</v>
      </c>
      <c r="J15" s="16" t="n">
        <v>1263</v>
      </c>
      <c r="K15" s="16" t="n">
        <v>1360</v>
      </c>
    </row>
    <row r="16">
      <c r="A16" s="15" t="inlineStr">
        <is>
          <t>Finance Costs</t>
        </is>
      </c>
      <c r="B16" s="16" t="n"/>
      <c r="C16" s="16" t="n"/>
      <c r="D16" s="16" t="n">
        <v>80.56</v>
      </c>
      <c r="E16" s="16" t="n">
        <v>102.19</v>
      </c>
      <c r="F16" s="16" t="n">
        <v>98</v>
      </c>
      <c r="G16" s="16" t="n">
        <v>74</v>
      </c>
      <c r="H16" s="16" t="n">
        <v>111</v>
      </c>
      <c r="I16" s="16" t="n">
        <v>141</v>
      </c>
      <c r="J16" s="16" t="n">
        <v>145</v>
      </c>
      <c r="K16" s="16" t="n">
        <v>158</v>
      </c>
    </row>
    <row r="17">
      <c r="A17" s="15" t="inlineStr">
        <is>
          <t>Depreciation And Amortisation Expenses</t>
        </is>
      </c>
      <c r="B17" s="16" t="n"/>
      <c r="C17" s="16" t="n"/>
      <c r="D17" s="16" t="n">
        <v>399.27</v>
      </c>
      <c r="E17" s="16" t="n">
        <v>489.03</v>
      </c>
      <c r="F17" s="16" t="n">
        <v>96</v>
      </c>
      <c r="G17" s="16" t="n">
        <v>99</v>
      </c>
      <c r="H17" s="16" t="n">
        <v>107</v>
      </c>
      <c r="I17" s="16" t="n">
        <v>114</v>
      </c>
      <c r="J17" s="16" t="n">
        <v>113</v>
      </c>
      <c r="K17" s="16" t="n">
        <v>116</v>
      </c>
    </row>
    <row r="18">
      <c r="A18" s="19" t="inlineStr">
        <is>
          <t>(folded into SG&amp;A above)</t>
        </is>
      </c>
      <c r="B18" s="20" t="n"/>
      <c r="C18" s="20" t="n"/>
      <c r="D18" s="20" t="n">
        <v>2011.77</v>
      </c>
      <c r="E18" s="20" t="n">
        <v>2003.14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7" t="inlineStr">
        <is>
          <t>Total Expenses</t>
        </is>
      </c>
      <c r="B19" s="18" t="n"/>
      <c r="C19" s="18" t="n"/>
      <c r="D19" s="18" t="n">
        <v>17256.5</v>
      </c>
      <c r="E19" s="18" t="n">
        <v>15668.7</v>
      </c>
      <c r="F19" s="18" t="n">
        <v>4516</v>
      </c>
      <c r="G19" s="18" t="n">
        <v>5283</v>
      </c>
      <c r="H19" s="18" t="n">
        <v>6236</v>
      </c>
      <c r="I19" s="18" t="n">
        <v>6109</v>
      </c>
      <c r="J19" s="18" t="n">
        <v>5694</v>
      </c>
      <c r="K19" s="18" t="n">
        <v>6026</v>
      </c>
    </row>
    <row r="20">
      <c r="A20" s="15" t="inlineStr">
        <is>
          <t>Profit/Loss Before Exceptional, ExtraOrdinary Items And Tax</t>
        </is>
      </c>
      <c r="B20" s="16" t="n"/>
      <c r="C20" s="16" t="n"/>
      <c r="D20" s="16" t="n">
        <v>960.96</v>
      </c>
      <c r="E20" s="16" t="n">
        <v>786.74</v>
      </c>
      <c r="F20" s="16" t="n">
        <v>169</v>
      </c>
      <c r="G20" s="16" t="n">
        <v>93</v>
      </c>
      <c r="H20" s="16" t="n">
        <v>74</v>
      </c>
      <c r="I20" s="16" t="n">
        <v>192</v>
      </c>
      <c r="J20" s="16" t="n">
        <v>278</v>
      </c>
      <c r="K20" s="16" t="n">
        <v>302</v>
      </c>
    </row>
    <row r="21">
      <c r="A21" s="19" t="inlineStr">
        <is>
          <t>Exceptional Items &amp; Share of Assoc. (net)</t>
        </is>
      </c>
      <c r="B21" s="20" t="n"/>
      <c r="C21" s="20" t="n"/>
      <c r="D21" s="20" t="n">
        <v>0</v>
      </c>
      <c r="E21" s="20" t="n">
        <v>-32.33</v>
      </c>
      <c r="F21" s="20" t="n">
        <v>-73</v>
      </c>
      <c r="G21" s="20" t="n">
        <v>-7</v>
      </c>
      <c r="H21" s="20" t="n">
        <v>-45</v>
      </c>
      <c r="I21" s="20" t="n">
        <v>-36</v>
      </c>
      <c r="J21" s="20" t="n">
        <v>-66</v>
      </c>
      <c r="K21" s="20" t="n">
        <v>-63</v>
      </c>
    </row>
    <row r="22">
      <c r="A22" s="17" t="inlineStr">
        <is>
          <t>Profit/Loss Before Tax</t>
        </is>
      </c>
      <c r="B22" s="18" t="n"/>
      <c r="C22" s="18" t="n"/>
      <c r="D22" s="18" t="n">
        <v>960.96</v>
      </c>
      <c r="E22" s="18" t="n">
        <v>754.41</v>
      </c>
      <c r="F22" s="18" t="n">
        <v>96</v>
      </c>
      <c r="G22" s="18" t="n">
        <v>86</v>
      </c>
      <c r="H22" s="18" t="n">
        <v>29</v>
      </c>
      <c r="I22" s="18" t="n">
        <v>156</v>
      </c>
      <c r="J22" s="18" t="n">
        <v>212</v>
      </c>
      <c r="K22" s="18" t="n">
        <v>239</v>
      </c>
    </row>
    <row r="23">
      <c r="A23" s="26" t="inlineStr">
        <is>
          <t>Tax Expenses-Continued Operations</t>
        </is>
      </c>
      <c r="B23" s="16" t="n"/>
      <c r="C23" s="16" t="n"/>
      <c r="D23" s="16" t="n"/>
      <c r="E23" s="16" t="n"/>
      <c r="F23" s="27" t="n"/>
      <c r="G23" s="16" t="n"/>
      <c r="H23" s="16" t="n"/>
      <c r="I23" s="16" t="n"/>
      <c r="J23" s="16" t="n"/>
      <c r="K23" s="27" t="n"/>
    </row>
    <row r="24">
      <c r="A24" s="15" t="inlineStr">
        <is>
          <t>Current Tax</t>
        </is>
      </c>
      <c r="B24" s="16" t="n"/>
      <c r="C24" s="16" t="n"/>
      <c r="D24" s="16" t="n">
        <v>276.76</v>
      </c>
      <c r="E24" s="16" t="n">
        <v>233.9</v>
      </c>
      <c r="F24" s="16" t="n">
        <v>18</v>
      </c>
      <c r="G24" s="16" t="n">
        <v>13</v>
      </c>
      <c r="H24" s="16" t="n">
        <v>6</v>
      </c>
      <c r="I24" s="16" t="n">
        <v>19</v>
      </c>
      <c r="J24" s="16" t="n">
        <v>7</v>
      </c>
      <c r="K24" s="16" t="n">
        <v>22</v>
      </c>
    </row>
    <row r="25">
      <c r="A25" s="15" t="inlineStr">
        <is>
          <t>Deferred Tax</t>
        </is>
      </c>
      <c r="B25" s="16" t="n"/>
      <c r="C25" s="16" t="n"/>
      <c r="D25" s="16" t="n">
        <v>14.06</v>
      </c>
      <c r="E25" s="16" t="n">
        <v>-71.73999999999999</v>
      </c>
      <c r="F25" s="16" t="n">
        <v>0</v>
      </c>
      <c r="G25" s="16" t="n">
        <v>0</v>
      </c>
      <c r="H25" s="16" t="n">
        <v>0</v>
      </c>
      <c r="I25" s="16" t="n">
        <v>0</v>
      </c>
      <c r="J25" s="16" t="n">
        <v>0</v>
      </c>
      <c r="K25" s="16" t="n">
        <v>0</v>
      </c>
    </row>
    <row r="26">
      <c r="A26" s="17" t="inlineStr">
        <is>
          <t>Total Tax Expenses</t>
        </is>
      </c>
      <c r="B26" s="18" t="n"/>
      <c r="C26" s="18" t="n"/>
      <c r="D26" s="18" t="n">
        <v>290.82</v>
      </c>
      <c r="E26" s="18" t="n">
        <v>162.16</v>
      </c>
      <c r="F26" s="18" t="n">
        <v>18</v>
      </c>
      <c r="G26" s="18" t="n">
        <v>13</v>
      </c>
      <c r="H26" s="18" t="n">
        <v>6</v>
      </c>
      <c r="I26" s="18" t="n">
        <v>19</v>
      </c>
      <c r="J26" s="18" t="n">
        <v>7</v>
      </c>
      <c r="K26" s="18" t="n">
        <v>22</v>
      </c>
    </row>
    <row r="27">
      <c r="A27" s="15" t="inlineStr">
        <is>
          <t>Profit/Loss After Tax And Before ExtraOrdinary Items</t>
        </is>
      </c>
      <c r="B27" s="16" t="n"/>
      <c r="C27" s="16" t="n"/>
      <c r="D27" s="16" t="n">
        <v>670.14</v>
      </c>
      <c r="E27" s="16" t="n">
        <v>592.25</v>
      </c>
      <c r="F27" s="16" t="n">
        <v>78</v>
      </c>
      <c r="G27" s="16" t="n">
        <v>73</v>
      </c>
      <c r="H27" s="16" t="n">
        <v>23</v>
      </c>
      <c r="I27" s="16" t="n">
        <v>137</v>
      </c>
      <c r="J27" s="16" t="n">
        <v>205</v>
      </c>
      <c r="K27" s="16" t="n">
        <v>217</v>
      </c>
    </row>
    <row r="28">
      <c r="A28" s="15" t="inlineStr">
        <is>
          <t>Profit/Loss From Continuing Operations</t>
        </is>
      </c>
      <c r="B28" s="16" t="n"/>
      <c r="C28" s="16" t="n"/>
      <c r="D28" s="16" t="n">
        <v>670.14</v>
      </c>
      <c r="E28" s="16" t="n">
        <v>592.25</v>
      </c>
      <c r="F28" s="16" t="n">
        <v>78</v>
      </c>
      <c r="G28" s="16" t="n">
        <v>73</v>
      </c>
      <c r="H28" s="16" t="n">
        <v>23</v>
      </c>
      <c r="I28" s="16" t="n">
        <v>137</v>
      </c>
      <c r="J28" s="16" t="n">
        <v>205</v>
      </c>
      <c r="K28" s="16" t="n">
        <v>217</v>
      </c>
    </row>
    <row r="29">
      <c r="A29" s="19" t="inlineStr">
        <is>
          <t>Profit/Loss From discontinuing Operations</t>
        </is>
      </c>
      <c r="B29" s="20" t="n"/>
      <c r="C29" s="20" t="n"/>
      <c r="D29" s="20" t="n">
        <v>0</v>
      </c>
      <c r="E29" s="20" t="n">
        <v>0</v>
      </c>
      <c r="F29" s="20" t="n">
        <v>0</v>
      </c>
      <c r="G29" s="20" t="n">
        <v>0</v>
      </c>
      <c r="H29" s="20" t="n">
        <v>0</v>
      </c>
      <c r="I29" s="20" t="n">
        <v>0</v>
      </c>
      <c r="J29" s="20" t="n">
        <v>0</v>
      </c>
      <c r="K29" s="20" t="n">
        <v>0</v>
      </c>
    </row>
    <row r="30">
      <c r="A30" s="21" t="inlineStr">
        <is>
          <t>Profit/Loss For The Period</t>
        </is>
      </c>
      <c r="B30" s="22" t="n"/>
      <c r="C30" s="22" t="n"/>
      <c r="D30" s="22" t="n">
        <v>-79</v>
      </c>
      <c r="E30" s="22" t="n">
        <v>-80</v>
      </c>
      <c r="F30" s="22" t="n">
        <v>78</v>
      </c>
      <c r="G30" s="22" t="n">
        <v>73</v>
      </c>
      <c r="H30" s="22" t="n">
        <v>24</v>
      </c>
      <c r="I30" s="22" t="n">
        <v>138</v>
      </c>
      <c r="J30" s="22" t="n">
        <v>205</v>
      </c>
      <c r="K30" s="22" t="n">
        <v>218</v>
      </c>
    </row>
    <row r="31">
      <c r="A31" s="26" t="inlineStr">
        <is>
          <t>OTHER ADDITIONAL INFORMATION</t>
        </is>
      </c>
      <c r="B31" s="18" t="n"/>
      <c r="C31" s="18" t="n"/>
      <c r="D31" s="18" t="n"/>
      <c r="E31" s="18" t="n"/>
      <c r="F31" s="29" t="n"/>
      <c r="G31" s="18" t="n"/>
      <c r="H31" s="18" t="n"/>
      <c r="I31" s="18" t="n"/>
      <c r="J31" s="18" t="n"/>
      <c r="K31" s="29" t="n"/>
    </row>
    <row r="32">
      <c r="A32" s="30" t="inlineStr">
        <is>
          <t>EARNINGS PER SHARE</t>
        </is>
      </c>
      <c r="B32" s="18" t="n"/>
      <c r="C32" s="18" t="n"/>
      <c r="D32" s="18" t="n"/>
      <c r="E32" s="18" t="n"/>
      <c r="F32" s="29" t="n"/>
      <c r="G32" s="18" t="n"/>
      <c r="H32" s="18" t="n"/>
      <c r="I32" s="18" t="n"/>
      <c r="J32" s="18" t="n"/>
      <c r="K32" s="29" t="n"/>
    </row>
    <row r="33">
      <c r="A33" s="15" t="inlineStr">
        <is>
          <t>Basic EPS (Rs.)</t>
        </is>
      </c>
      <c r="B33" s="16" t="n"/>
      <c r="C33" s="16" t="n"/>
      <c r="D33" s="16" t="n">
        <v>14.11</v>
      </c>
      <c r="E33" s="16" t="n">
        <v>12.47</v>
      </c>
      <c r="F33" s="16" t="n">
        <v>5.21</v>
      </c>
      <c r="G33" s="16" t="n">
        <v>4.45</v>
      </c>
      <c r="H33" s="16" t="n">
        <v>1.42</v>
      </c>
      <c r="I33" s="16" t="n">
        <v>8.199999999999999</v>
      </c>
      <c r="J33" s="16" t="n">
        <v>12.16</v>
      </c>
      <c r="K33" s="16" t="n">
        <v>12.78</v>
      </c>
    </row>
    <row r="34">
      <c r="A34" s="15" t="inlineStr">
        <is>
          <t>Diluted EPS (Rs.)</t>
        </is>
      </c>
      <c r="B34" s="16" t="n"/>
      <c r="C34" s="16" t="n"/>
      <c r="D34" s="16" t="n">
        <v>14.11</v>
      </c>
      <c r="E34" s="16" t="n">
        <v>12.47</v>
      </c>
      <c r="F34" s="16" t="n">
        <v>5.21</v>
      </c>
      <c r="G34" s="16" t="n">
        <v>4.45</v>
      </c>
      <c r="H34" s="16" t="n">
        <v>1.42</v>
      </c>
      <c r="I34" s="16" t="n">
        <v>8.199999999999999</v>
      </c>
      <c r="J34" s="16" t="n">
        <v>12.16</v>
      </c>
      <c r="K34" s="16" t="n">
        <v>12.78</v>
      </c>
    </row>
    <row r="35">
      <c r="A35" s="30" t="inlineStr">
        <is>
          <t>DIVIDEND AND DIVIDEND PERCENTAGE</t>
        </is>
      </c>
      <c r="B35" s="18" t="n"/>
      <c r="C35" s="18" t="n"/>
      <c r="D35" s="18" t="n"/>
      <c r="E35" s="18" t="n"/>
      <c r="F35" s="29" t="n"/>
      <c r="G35" s="18" t="n"/>
      <c r="H35" s="18" t="n"/>
      <c r="I35" s="18" t="n"/>
      <c r="J35" s="18" t="n"/>
      <c r="K35" s="29" t="n"/>
    </row>
    <row r="36">
      <c r="A36" s="5" t="inlineStr">
        <is>
          <t>Equity Share Dividend</t>
        </is>
      </c>
      <c r="B36" s="31" t="n"/>
      <c r="C36" s="31" t="n"/>
      <c r="D36" s="31" t="n">
        <v>166.28</v>
      </c>
      <c r="E36" s="31" t="n">
        <v>166.28</v>
      </c>
      <c r="F36" s="31" t="n">
        <v>0</v>
      </c>
      <c r="G36" s="31" t="n">
        <v>0</v>
      </c>
      <c r="H36" s="31" t="n">
        <v>0</v>
      </c>
      <c r="I36" s="31" t="n">
        <v>0</v>
      </c>
      <c r="J36" s="31" t="n">
        <v>0</v>
      </c>
      <c r="K36" s="31" t="n">
        <v>0</v>
      </c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</row>
    <row r="39" ht="15" customHeight="1" s="191" thickBot="1">
      <c r="A39" s="13" t="inlineStr">
        <is>
          <t>BALANCE SHEET (in Crs)</t>
        </is>
      </c>
      <c r="B39" s="14" t="n"/>
      <c r="C39" s="14" t="n"/>
      <c r="D39" s="14" t="inlineStr">
        <is>
          <t>FY 19</t>
        </is>
      </c>
      <c r="E39" s="14" t="inlineStr">
        <is>
          <t>FY 20</t>
        </is>
      </c>
      <c r="F39" s="14" t="inlineStr">
        <is>
          <t>FY 21</t>
        </is>
      </c>
      <c r="G39" s="14" t="inlineStr">
        <is>
          <t>FY 22</t>
        </is>
      </c>
      <c r="H39" s="14" t="inlineStr">
        <is>
          <t>FY 23</t>
        </is>
      </c>
      <c r="I39" s="14" t="inlineStr">
        <is>
          <t>FY 24</t>
        </is>
      </c>
      <c r="J39" s="14" t="inlineStr">
        <is>
          <t>FY 25</t>
        </is>
      </c>
      <c r="K39" s="14" t="inlineStr">
        <is>
          <t>FY 26</t>
        </is>
      </c>
    </row>
    <row r="40">
      <c r="A40" s="32" t="inlineStr">
        <is>
          <t>EQUITIES AND LIABILITIES</t>
        </is>
      </c>
      <c r="B40" s="33" t="n"/>
      <c r="C40" s="33" t="n"/>
      <c r="D40" s="33" t="n"/>
      <c r="E40" s="33" t="n"/>
      <c r="F40" s="2" t="n"/>
      <c r="G40" s="33" t="n"/>
      <c r="H40" s="33" t="n"/>
      <c r="I40" s="33" t="n"/>
      <c r="J40" s="33" t="n"/>
      <c r="K40" s="34" t="n"/>
    </row>
    <row r="41">
      <c r="A41" s="30" t="inlineStr">
        <is>
          <t>SHAREHOLDER'S FUNDS</t>
        </is>
      </c>
      <c r="B41" s="33" t="n"/>
      <c r="C41" s="33" t="n"/>
      <c r="D41" s="33" t="n"/>
      <c r="E41" s="33" t="n"/>
      <c r="F41" s="2" t="n"/>
      <c r="G41" s="33" t="n"/>
      <c r="H41" s="33" t="n"/>
      <c r="I41" s="33" t="n"/>
      <c r="J41" s="33" t="n"/>
      <c r="K41" s="34" t="n"/>
    </row>
    <row r="42">
      <c r="A42" s="15" t="inlineStr">
        <is>
          <t>Equity Share Capital</t>
        </is>
      </c>
      <c r="B42" s="35" t="n"/>
      <c r="C42" s="35" t="n"/>
      <c r="D42" s="35" t="n">
        <v>47.51</v>
      </c>
      <c r="E42" s="35" t="n">
        <v>47.51</v>
      </c>
      <c r="F42" s="35" t="n">
        <v>33</v>
      </c>
      <c r="G42" s="35" t="n">
        <v>33</v>
      </c>
      <c r="H42" s="35" t="n">
        <v>34</v>
      </c>
      <c r="I42" s="35" t="n">
        <v>34</v>
      </c>
      <c r="J42" s="35" t="n">
        <v>34</v>
      </c>
      <c r="K42" s="35" t="n">
        <v>36</v>
      </c>
      <c r="L42" s="161" t="n"/>
    </row>
    <row r="43">
      <c r="A43" s="28" t="inlineStr">
        <is>
          <t>Total Share Capital</t>
        </is>
      </c>
      <c r="B43" s="36" t="n"/>
      <c r="C43" s="36" t="n"/>
      <c r="D43" s="36" t="n">
        <v>47.51</v>
      </c>
      <c r="E43" s="36" t="n">
        <v>47.51</v>
      </c>
      <c r="F43" s="36" t="n">
        <v>33</v>
      </c>
      <c r="G43" s="36" t="n">
        <v>33</v>
      </c>
      <c r="H43" s="36" t="n">
        <v>34</v>
      </c>
      <c r="I43" s="36" t="n">
        <v>34</v>
      </c>
      <c r="J43" s="36" t="n">
        <v>34</v>
      </c>
      <c r="K43" s="36" t="n">
        <v>36</v>
      </c>
      <c r="L43" s="161" t="n"/>
    </row>
    <row r="44">
      <c r="A44" s="15" t="inlineStr">
        <is>
          <t>Reserves and Surplus</t>
        </is>
      </c>
      <c r="B44" s="35" t="n"/>
      <c r="C44" s="35" t="n"/>
      <c r="D44" s="35" t="n">
        <v>3299.81</v>
      </c>
      <c r="E44" s="35" t="n">
        <v>3570.58</v>
      </c>
      <c r="F44" s="35" t="n">
        <v>174</v>
      </c>
      <c r="G44" s="35" t="n">
        <v>227</v>
      </c>
      <c r="H44" s="35" t="n">
        <v>262</v>
      </c>
      <c r="I44" s="35" t="n">
        <v>447</v>
      </c>
      <c r="J44" s="35" t="n">
        <v>725</v>
      </c>
      <c r="K44" s="35" t="n">
        <v>1251</v>
      </c>
      <c r="L44" s="161" t="n"/>
    </row>
    <row r="45">
      <c r="A45" s="17" t="inlineStr">
        <is>
          <t>Total Reserves and Surplus</t>
        </is>
      </c>
      <c r="B45" s="37" t="n"/>
      <c r="C45" s="37" t="n"/>
      <c r="D45" s="37" t="n">
        <v>3299.81</v>
      </c>
      <c r="E45" s="37" t="n">
        <v>3570.58</v>
      </c>
      <c r="F45" s="37" t="n">
        <v>174</v>
      </c>
      <c r="G45" s="37" t="n">
        <v>227</v>
      </c>
      <c r="H45" s="37" t="n">
        <v>262</v>
      </c>
      <c r="I45" s="37" t="n">
        <v>447</v>
      </c>
      <c r="J45" s="37" t="n">
        <v>725</v>
      </c>
      <c r="K45" s="37" t="n">
        <v>1251</v>
      </c>
      <c r="L45" s="161" t="n"/>
    </row>
    <row r="46">
      <c r="A46" s="17" t="inlineStr">
        <is>
          <t>Total Shareholders Funds</t>
        </is>
      </c>
      <c r="B46" s="37" t="n"/>
      <c r="C46" s="37" t="n"/>
      <c r="D46" s="37" t="n">
        <v>19</v>
      </c>
      <c r="E46" s="37" t="n">
        <v>-176</v>
      </c>
      <c r="F46" s="37" t="n">
        <v>207</v>
      </c>
      <c r="G46" s="37" t="n">
        <v>260</v>
      </c>
      <c r="H46" s="37" t="n">
        <v>296</v>
      </c>
      <c r="I46" s="37" t="n">
        <v>481</v>
      </c>
      <c r="J46" s="37" t="n">
        <v>759</v>
      </c>
      <c r="K46" s="37" t="n">
        <v>1287</v>
      </c>
      <c r="L46" s="161" t="n"/>
    </row>
    <row r="47">
      <c r="A47" s="15" t="inlineStr">
        <is>
          <t>Minority Interest</t>
        </is>
      </c>
      <c r="B47" s="35" t="n"/>
      <c r="C47" s="35" t="n"/>
      <c r="D47" s="35" t="n">
        <v>245.77</v>
      </c>
      <c r="E47" s="35" t="n">
        <v>320.94</v>
      </c>
      <c r="F47" s="35" t="n">
        <v>0</v>
      </c>
      <c r="G47" s="35" t="n">
        <v>0</v>
      </c>
      <c r="H47" s="35" t="n">
        <v>0</v>
      </c>
      <c r="I47" s="35" t="n">
        <v>0</v>
      </c>
      <c r="J47" s="35" t="n">
        <v>0</v>
      </c>
      <c r="K47" s="35" t="n">
        <v>0</v>
      </c>
      <c r="L47" s="161" t="n"/>
    </row>
    <row r="48">
      <c r="A48" s="23" t="inlineStr">
        <is>
          <t>NON-CURRENT LIABILITIES</t>
        </is>
      </c>
      <c r="B48" s="36" t="n"/>
      <c r="C48" s="36" t="n"/>
      <c r="D48" s="36" t="n"/>
      <c r="E48" s="36" t="n"/>
      <c r="F48" s="38" t="n"/>
      <c r="G48" s="36" t="n"/>
      <c r="H48" s="36" t="n"/>
      <c r="I48" s="36" t="n"/>
      <c r="J48" s="36" t="n"/>
      <c r="K48" s="39" t="n"/>
      <c r="L48" s="161" t="n"/>
    </row>
    <row r="49">
      <c r="A49" s="15" t="inlineStr">
        <is>
          <t>Long Term Borrowings</t>
        </is>
      </c>
      <c r="B49" s="35" t="n"/>
      <c r="C49" s="35" t="n"/>
      <c r="D49" s="35" t="n">
        <v>709.12</v>
      </c>
      <c r="E49" s="35" t="n">
        <v>904.63</v>
      </c>
      <c r="F49" s="35" t="n">
        <v>119</v>
      </c>
      <c r="G49" s="35" t="n">
        <v>229</v>
      </c>
      <c r="H49" s="35" t="n">
        <v>305</v>
      </c>
      <c r="I49" s="35" t="n">
        <v>362</v>
      </c>
      <c r="J49" s="35" t="n">
        <v>633</v>
      </c>
      <c r="K49" s="35" t="n">
        <v>797</v>
      </c>
      <c r="L49" s="161" t="n"/>
    </row>
    <row r="50">
      <c r="A50" s="15" t="inlineStr">
        <is>
          <t>Deferred Tax Liabilities [Net]</t>
        </is>
      </c>
      <c r="B50" s="35" t="n"/>
      <c r="C50" s="35" t="n"/>
      <c r="D50" s="35" t="n">
        <v>212.63</v>
      </c>
      <c r="E50" s="35" t="n">
        <v>158.05</v>
      </c>
      <c r="F50" s="35" t="n">
        <v>0</v>
      </c>
      <c r="G50" s="35" t="n">
        <v>0</v>
      </c>
      <c r="H50" s="35" t="n">
        <v>0</v>
      </c>
      <c r="I50" s="35" t="n">
        <v>0</v>
      </c>
      <c r="J50" s="35" t="n">
        <v>0</v>
      </c>
      <c r="K50" s="35" t="n">
        <v>0</v>
      </c>
      <c r="L50" s="161" t="n"/>
    </row>
    <row r="51">
      <c r="A51" s="15" t="inlineStr">
        <is>
          <t>Lease Liab (NC) + Contract Liab + Other Fin Liab</t>
        </is>
      </c>
      <c r="B51" s="35" t="n"/>
      <c r="C51" s="35" t="n"/>
      <c r="D51" s="35" t="n">
        <v>0</v>
      </c>
      <c r="E51" s="35" t="n">
        <v>85.79000000000001</v>
      </c>
      <c r="F51" s="35" t="n">
        <v>181</v>
      </c>
      <c r="G51" s="35" t="n">
        <v>177</v>
      </c>
      <c r="H51" s="35" t="n">
        <v>284</v>
      </c>
      <c r="I51" s="35" t="n">
        <v>328</v>
      </c>
      <c r="J51" s="35" t="n">
        <v>287</v>
      </c>
      <c r="K51" s="35" t="n">
        <v>404</v>
      </c>
      <c r="L51" s="161" t="n"/>
    </row>
    <row r="52">
      <c r="A52" s="15" t="inlineStr">
        <is>
          <t>Long Term Provisions</t>
        </is>
      </c>
      <c r="B52" s="35" t="n"/>
      <c r="C52" s="35" t="n"/>
      <c r="D52" s="35" t="n">
        <v>58.61</v>
      </c>
      <c r="E52" s="35" t="n">
        <v>92.59999999999999</v>
      </c>
      <c r="F52" s="35" t="n">
        <v>103</v>
      </c>
      <c r="G52" s="35" t="n">
        <v>70</v>
      </c>
      <c r="H52" s="35" t="n">
        <v>74</v>
      </c>
      <c r="I52" s="35" t="n">
        <v>54</v>
      </c>
      <c r="J52" s="35" t="n">
        <v>32</v>
      </c>
      <c r="K52" s="35" t="n">
        <v>37</v>
      </c>
      <c r="L52" s="161" t="n"/>
    </row>
    <row r="53">
      <c r="A53" s="17" t="inlineStr">
        <is>
          <t>Total Non-Current Liabilities</t>
        </is>
      </c>
      <c r="B53" s="37" t="n"/>
      <c r="C53" s="37" t="n"/>
      <c r="D53" s="37" t="n">
        <v>980.36</v>
      </c>
      <c r="E53" s="37" t="n">
        <v>1241.07</v>
      </c>
      <c r="F53" s="37">
        <f>SUM(F49:F52)</f>
        <v/>
      </c>
      <c r="G53" s="37">
        <f>SUM(G49:G52)</f>
        <v/>
      </c>
      <c r="H53" s="37">
        <f>SUM(H49:H52)</f>
        <v/>
      </c>
      <c r="I53" s="37">
        <f>SUM(I49:I52)</f>
        <v/>
      </c>
      <c r="J53" s="37">
        <f>SUM(J49:J52)</f>
        <v/>
      </c>
      <c r="K53" s="37">
        <f>SUM(K49:K52)</f>
        <v/>
      </c>
      <c r="L53" s="161" t="n"/>
    </row>
    <row r="54">
      <c r="A54" s="23" t="inlineStr">
        <is>
          <t>CURRENT LIABILITIES</t>
        </is>
      </c>
      <c r="B54" s="36" t="n"/>
      <c r="C54" s="36" t="n"/>
      <c r="D54" s="36" t="n"/>
      <c r="E54" s="36" t="n"/>
      <c r="F54" s="38" t="n"/>
      <c r="G54" s="36" t="n"/>
      <c r="H54" s="36" t="n"/>
      <c r="I54" s="36" t="n"/>
      <c r="J54" s="36" t="n"/>
      <c r="K54" s="39" t="n"/>
      <c r="L54" s="161" t="n"/>
    </row>
    <row r="55">
      <c r="A55" s="15" t="inlineStr">
        <is>
          <t>Short-term Borrowings + Current Lease Liab</t>
        </is>
      </c>
      <c r="B55" s="35" t="n"/>
      <c r="C55" s="35" t="n"/>
      <c r="D55" s="35" t="n">
        <v>668.8200000000001</v>
      </c>
      <c r="E55" s="35" t="n">
        <v>1070</v>
      </c>
      <c r="F55" s="35" t="n">
        <v>115</v>
      </c>
      <c r="G55" s="35" t="n">
        <v>135</v>
      </c>
      <c r="H55" s="35" t="n">
        <v>101</v>
      </c>
      <c r="I55" s="35" t="n">
        <v>83</v>
      </c>
      <c r="J55" s="35" t="n">
        <v>75</v>
      </c>
      <c r="K55" s="35" t="n">
        <v>93</v>
      </c>
      <c r="L55" s="161" t="n"/>
    </row>
    <row r="56">
      <c r="A56" s="15" t="inlineStr">
        <is>
          <t>Trade Payables</t>
        </is>
      </c>
      <c r="B56" s="35" t="n"/>
      <c r="C56" s="35" t="n"/>
      <c r="D56" s="35" t="n">
        <v>2923.9</v>
      </c>
      <c r="E56" s="35" t="n">
        <v>2886.39</v>
      </c>
      <c r="F56" s="35" t="n">
        <v>516</v>
      </c>
      <c r="G56" s="35" t="n">
        <v>1009</v>
      </c>
      <c r="H56" s="35" t="n">
        <v>1158</v>
      </c>
      <c r="I56" s="35" t="n">
        <v>722</v>
      </c>
      <c r="J56" s="35" t="n">
        <v>556</v>
      </c>
      <c r="K56" s="35" t="n">
        <v>790</v>
      </c>
      <c r="L56" s="161" t="n"/>
    </row>
    <row r="57">
      <c r="A57" s="15" t="inlineStr">
        <is>
          <t>Contract Liab (curr) + Other Fin/Curr Liab</t>
        </is>
      </c>
      <c r="B57" s="35" t="n"/>
      <c r="C57" s="35" t="n"/>
      <c r="D57" s="35" t="n">
        <v>389.31</v>
      </c>
      <c r="E57" s="35" t="n">
        <v>454.12</v>
      </c>
      <c r="F57" s="35" t="n">
        <v>937</v>
      </c>
      <c r="G57" s="35" t="n">
        <v>698</v>
      </c>
      <c r="H57" s="35" t="n">
        <v>716</v>
      </c>
      <c r="I57" s="35" t="n">
        <v>695</v>
      </c>
      <c r="J57" s="35" t="n">
        <v>676</v>
      </c>
      <c r="K57" s="35" t="n">
        <v>830</v>
      </c>
      <c r="L57" s="161" t="n"/>
      <c r="M57" s="162" t="n"/>
    </row>
    <row r="58">
      <c r="A58" s="15" t="inlineStr">
        <is>
          <t>Short Term Provisions</t>
        </is>
      </c>
      <c r="B58" s="35" t="n"/>
      <c r="C58" s="35" t="n"/>
      <c r="D58" s="35" t="n">
        <v>59.65</v>
      </c>
      <c r="E58" s="35" t="n">
        <v>83.65000000000001</v>
      </c>
      <c r="F58" s="35" t="n">
        <v>127</v>
      </c>
      <c r="G58" s="35" t="n">
        <v>72</v>
      </c>
      <c r="H58" s="35" t="n">
        <v>69</v>
      </c>
      <c r="I58" s="35" t="n">
        <v>75</v>
      </c>
      <c r="J58" s="35" t="n">
        <v>55</v>
      </c>
      <c r="K58" s="35" t="n">
        <v>55</v>
      </c>
      <c r="L58" s="161" t="n"/>
    </row>
    <row r="59">
      <c r="A59" s="40" t="inlineStr">
        <is>
          <t>Total Current Liabilities</t>
        </is>
      </c>
      <c r="B59" s="41" t="n"/>
      <c r="C59" s="41" t="n"/>
      <c r="D59" s="41" t="n">
        <v>4041.68</v>
      </c>
      <c r="E59" s="41" t="n">
        <v>4494.16</v>
      </c>
      <c r="F59" s="41">
        <f>SUM(F55:F58)</f>
        <v/>
      </c>
      <c r="G59" s="41">
        <f>SUM(G55:G58)</f>
        <v/>
      </c>
      <c r="H59" s="41">
        <f>SUM(H55:H58)</f>
        <v/>
      </c>
      <c r="I59" s="41">
        <f>SUM(I55:I58)</f>
        <v/>
      </c>
      <c r="J59" s="41">
        <f>SUM(J55:J58)</f>
        <v/>
      </c>
      <c r="K59" s="41">
        <f>SUM(K55:K58)</f>
        <v/>
      </c>
      <c r="L59" s="161" t="n"/>
    </row>
    <row r="60">
      <c r="A60" s="28" t="inlineStr">
        <is>
          <t>Total Capital And Liabilities</t>
        </is>
      </c>
      <c r="B60" s="36" t="n"/>
      <c r="C60" s="36" t="n"/>
      <c r="D60" s="36" t="n">
        <v>8369.360000000001</v>
      </c>
      <c r="E60" s="36" t="n">
        <v>9353.32</v>
      </c>
      <c r="F60" s="36">
        <f>SUM(F59,F53,F46)+F47</f>
        <v/>
      </c>
      <c r="G60" s="36">
        <f>SUM(G59,G53,G46)+G47</f>
        <v/>
      </c>
      <c r="H60" s="36">
        <f>SUM(H59,H53,H46)+H47</f>
        <v/>
      </c>
      <c r="I60" s="36">
        <f>SUM(I59,I53,I46)+I47</f>
        <v/>
      </c>
      <c r="J60" s="36">
        <f>SUM(J59,J53,J46)+J47</f>
        <v/>
      </c>
      <c r="K60" s="36">
        <f>SUM(K59,K53,K46)+K47</f>
        <v/>
      </c>
      <c r="L60" s="161" t="n"/>
    </row>
    <row r="61">
      <c r="A61" s="30" t="inlineStr">
        <is>
          <t>ASSETS</t>
        </is>
      </c>
      <c r="B61" s="37" t="n"/>
      <c r="C61" s="37" t="n"/>
      <c r="D61" s="37" t="n"/>
      <c r="E61" s="37" t="n"/>
      <c r="F61" s="42" t="n"/>
      <c r="G61" s="37" t="n"/>
      <c r="H61" s="37" t="n"/>
      <c r="I61" s="37" t="n"/>
      <c r="J61" s="37" t="n"/>
      <c r="K61" s="43" t="n"/>
      <c r="L61" s="161" t="n"/>
    </row>
    <row r="62">
      <c r="A62" s="23" t="inlineStr">
        <is>
          <t>NON-CURRENT ASSETS</t>
        </is>
      </c>
      <c r="B62" s="36" t="n"/>
      <c r="C62" s="36" t="n"/>
      <c r="D62" s="36" t="n"/>
      <c r="E62" s="36" t="n"/>
      <c r="F62" s="38" t="n"/>
      <c r="G62" s="36" t="n"/>
      <c r="H62" s="36" t="n"/>
      <c r="I62" s="36" t="n"/>
      <c r="J62" s="36" t="n"/>
      <c r="K62" s="39" t="n"/>
      <c r="L62" s="161" t="n"/>
    </row>
    <row r="63">
      <c r="A63" s="15" t="inlineStr">
        <is>
          <t>Property, Plant &amp; Equipment + Right-of-Use Assets</t>
        </is>
      </c>
      <c r="B63" s="35" t="n"/>
      <c r="C63" s="35" t="n"/>
      <c r="D63" s="35" t="n">
        <v>2526.29</v>
      </c>
      <c r="E63" s="35" t="n">
        <v>2723.21</v>
      </c>
      <c r="F63" s="35" t="n">
        <v>310</v>
      </c>
      <c r="G63" s="35" t="n">
        <v>384</v>
      </c>
      <c r="H63" s="35" t="n">
        <v>420</v>
      </c>
      <c r="I63" s="35" t="n">
        <v>411</v>
      </c>
      <c r="J63" s="35" t="n">
        <v>356</v>
      </c>
      <c r="K63" s="35" t="n">
        <v>411</v>
      </c>
      <c r="L63" s="161" t="n"/>
    </row>
    <row r="64">
      <c r="A64" s="15" t="inlineStr">
        <is>
          <t>Goodwill &amp; Other Intangibles</t>
        </is>
      </c>
      <c r="B64" s="35" t="n"/>
      <c r="C64" s="35" t="n"/>
      <c r="D64" s="35" t="n">
        <v>53.02</v>
      </c>
      <c r="E64" s="35" t="n">
        <v>176.73</v>
      </c>
      <c r="F64" s="35" t="n">
        <v>312</v>
      </c>
      <c r="G64" s="35" t="n">
        <v>347</v>
      </c>
      <c r="H64" s="35" t="n">
        <v>377</v>
      </c>
      <c r="I64" s="35" t="n">
        <v>397</v>
      </c>
      <c r="J64" s="35" t="n">
        <v>412</v>
      </c>
      <c r="K64" s="35" t="n">
        <v>473</v>
      </c>
      <c r="L64" s="161" t="n"/>
    </row>
    <row r="65">
      <c r="A65" s="15" t="inlineStr">
        <is>
          <t>Capital Work-In-Progress</t>
        </is>
      </c>
      <c r="B65" s="35" t="n"/>
      <c r="C65" s="35" t="n"/>
      <c r="D65" s="35" t="n">
        <v>116.64</v>
      </c>
      <c r="E65" s="35" t="n">
        <v>126.56</v>
      </c>
      <c r="F65" s="35" t="n">
        <v>0</v>
      </c>
      <c r="G65" s="35" t="n">
        <v>0</v>
      </c>
      <c r="H65" s="35" t="n">
        <v>0</v>
      </c>
      <c r="I65" s="35" t="n">
        <v>0</v>
      </c>
      <c r="J65" s="35" t="n">
        <v>0</v>
      </c>
      <c r="K65" s="35" t="n">
        <v>0</v>
      </c>
      <c r="L65" s="161" t="n"/>
    </row>
    <row r="66">
      <c r="A66" s="15" t="inlineStr">
        <is>
          <t>Intangible Assets Under Development</t>
        </is>
      </c>
      <c r="B66" s="35" t="n"/>
      <c r="C66" s="35" t="n"/>
      <c r="D66" s="35" t="n">
        <v>140.59</v>
      </c>
      <c r="E66" s="35" t="n">
        <v>158.87</v>
      </c>
      <c r="F66" s="35" t="n">
        <v>0</v>
      </c>
      <c r="G66" s="35" t="n">
        <v>0</v>
      </c>
      <c r="H66" s="35" t="n">
        <v>0</v>
      </c>
      <c r="I66" s="35" t="n">
        <v>0</v>
      </c>
      <c r="J66" s="35" t="n">
        <v>0</v>
      </c>
      <c r="K66" s="35" t="n">
        <v>0</v>
      </c>
      <c r="L66" s="161" t="n"/>
    </row>
    <row r="67">
      <c r="A67" s="17" t="inlineStr">
        <is>
          <t>Fixed Assets</t>
        </is>
      </c>
      <c r="B67" s="37" t="n"/>
      <c r="C67" s="37" t="n"/>
      <c r="D67" s="37" t="n">
        <v>2836.54</v>
      </c>
      <c r="E67" s="37" t="n">
        <v>3185.37</v>
      </c>
      <c r="F67" s="37">
        <f>SUM(F63:F66)</f>
        <v/>
      </c>
      <c r="G67" s="37">
        <f>SUM(G63:G66)</f>
        <v/>
      </c>
      <c r="H67" s="37">
        <f>SUM(H63:H66)</f>
        <v/>
      </c>
      <c r="I67" s="37">
        <f>SUM(I63:I66)</f>
        <v/>
      </c>
      <c r="J67" s="37">
        <f>SUM(J63:J66)</f>
        <v/>
      </c>
      <c r="K67" s="37">
        <f>SUM(K63:K66)</f>
        <v/>
      </c>
      <c r="L67" s="161" t="n"/>
    </row>
    <row r="68">
      <c r="A68" s="15" t="inlineStr">
        <is>
          <t>Non-Current Financial Assets/Investments</t>
        </is>
      </c>
      <c r="B68" s="35" t="n"/>
      <c r="C68" s="35" t="n"/>
      <c r="D68" s="35" t="n">
        <v>2300.67</v>
      </c>
      <c r="E68" s="35" t="n">
        <v>2605.88</v>
      </c>
      <c r="F68" s="35" t="n">
        <v>28</v>
      </c>
      <c r="G68" s="35" t="n">
        <v>24</v>
      </c>
      <c r="H68" s="35" t="n">
        <v>48</v>
      </c>
      <c r="I68" s="35" t="n">
        <v>67</v>
      </c>
      <c r="J68" s="35" t="n">
        <v>56</v>
      </c>
      <c r="K68" s="35" t="n">
        <v>40</v>
      </c>
      <c r="L68" s="161" t="n"/>
    </row>
    <row r="69">
      <c r="A69" s="15" t="inlineStr">
        <is>
          <t>Deferred Tax Assets [Net]</t>
        </is>
      </c>
      <c r="B69" s="35" t="n"/>
      <c r="C69" s="35" t="n"/>
      <c r="D69" s="35" t="n">
        <v>0</v>
      </c>
      <c r="E69" s="35" t="n">
        <v>0</v>
      </c>
      <c r="F69" s="35" t="n">
        <v>67</v>
      </c>
      <c r="G69" s="35" t="n">
        <v>63</v>
      </c>
      <c r="H69" s="35" t="n">
        <v>60</v>
      </c>
      <c r="I69" s="35" t="n">
        <v>32</v>
      </c>
      <c r="J69" s="35" t="n">
        <v>28</v>
      </c>
      <c r="K69" s="35" t="n">
        <v>48</v>
      </c>
      <c r="L69" s="161" t="n"/>
    </row>
    <row r="70">
      <c r="A70" s="15" t="inlineStr">
        <is>
          <t>Long Term Loans And Advances</t>
        </is>
      </c>
      <c r="B70" s="35" t="n"/>
      <c r="C70" s="35" t="n"/>
      <c r="D70" s="35" t="n">
        <v>0</v>
      </c>
      <c r="E70" s="35" t="n">
        <v>0</v>
      </c>
      <c r="F70" s="35" t="n">
        <v>0</v>
      </c>
      <c r="G70" s="35" t="n">
        <v>0</v>
      </c>
      <c r="H70" s="35" t="n">
        <v>0</v>
      </c>
      <c r="I70" s="35" t="n">
        <v>0</v>
      </c>
      <c r="J70" s="35" t="n">
        <v>0</v>
      </c>
      <c r="K70" s="35" t="n">
        <v>0</v>
      </c>
      <c r="L70" s="161" t="n"/>
    </row>
    <row r="71">
      <c r="A71" s="19" t="inlineStr">
        <is>
          <t>Other Non-Current Assets</t>
        </is>
      </c>
      <c r="B71" s="44" t="n"/>
      <c r="C71" s="44" t="n"/>
      <c r="D71" s="44" t="n">
        <v>77.25</v>
      </c>
      <c r="E71" s="44" t="n">
        <v>340.48</v>
      </c>
      <c r="F71" s="44" t="n">
        <v>31</v>
      </c>
      <c r="G71" s="44" t="n">
        <v>26</v>
      </c>
      <c r="H71" s="44" t="n">
        <v>71</v>
      </c>
      <c r="I71" s="44" t="n">
        <v>57</v>
      </c>
      <c r="J71" s="44" t="n">
        <v>89</v>
      </c>
      <c r="K71" s="44" t="n">
        <v>87</v>
      </c>
      <c r="L71" s="161" t="n"/>
    </row>
    <row r="72">
      <c r="A72" s="17" t="inlineStr">
        <is>
          <t>Total Non-Current Assets</t>
        </is>
      </c>
      <c r="B72" s="37" t="n"/>
      <c r="C72" s="37" t="n"/>
      <c r="D72" s="37" t="n">
        <v>5214.46</v>
      </c>
      <c r="E72" s="37" t="n">
        <v>6131.73</v>
      </c>
      <c r="F72" s="37">
        <f>F67+F68+F69+F70+F71</f>
        <v/>
      </c>
      <c r="G72" s="37">
        <f>G67+G68+G69+G70+G71</f>
        <v/>
      </c>
      <c r="H72" s="37">
        <f>H67+H68+H69+H70+H71</f>
        <v/>
      </c>
      <c r="I72" s="37">
        <f>I67+I68+I69+I70+I71</f>
        <v/>
      </c>
      <c r="J72" s="37">
        <f>J67+J68+J69+J70+J71</f>
        <v/>
      </c>
      <c r="K72" s="37">
        <f>K67+K68+K69+K70+K71</f>
        <v/>
      </c>
      <c r="L72" s="161" t="n"/>
    </row>
    <row r="73">
      <c r="A73" s="30" t="inlineStr">
        <is>
          <t>CURRENT ASSETS</t>
        </is>
      </c>
      <c r="B73" s="37" t="n"/>
      <c r="C73" s="37" t="n"/>
      <c r="D73" s="37" t="n"/>
      <c r="E73" s="37" t="n"/>
      <c r="F73" s="42" t="n"/>
      <c r="G73" s="37" t="n"/>
      <c r="H73" s="37" t="n"/>
      <c r="I73" s="37" t="n"/>
      <c r="J73" s="37" t="n"/>
      <c r="K73" s="43" t="n"/>
      <c r="L73" s="161" t="n"/>
    </row>
    <row r="74">
      <c r="A74" s="15" t="inlineStr">
        <is>
          <t>Current Financial Assets (deposits/investments)</t>
        </is>
      </c>
      <c r="B74" s="37" t="n"/>
      <c r="C74" s="37" t="n"/>
      <c r="D74" s="37" t="n"/>
      <c r="E74" s="37" t="n"/>
      <c r="F74" s="42" t="n">
        <v>533</v>
      </c>
      <c r="G74" s="35" t="n">
        <v>560</v>
      </c>
      <c r="H74" s="35" t="n">
        <v>678</v>
      </c>
      <c r="I74" s="35" t="n">
        <v>508</v>
      </c>
      <c r="J74" s="35" t="n">
        <v>549</v>
      </c>
      <c r="K74" s="35" t="n">
        <v>543</v>
      </c>
      <c r="L74" s="161" t="n"/>
    </row>
    <row r="75">
      <c r="A75" s="15" t="inlineStr">
        <is>
          <t>Inventories</t>
        </is>
      </c>
      <c r="B75" s="35" t="n"/>
      <c r="C75" s="35" t="n"/>
      <c r="D75" s="35" t="n">
        <v>1175.94</v>
      </c>
      <c r="E75" s="35" t="n">
        <v>1038.93</v>
      </c>
      <c r="F75" s="35" t="n">
        <v>149</v>
      </c>
      <c r="G75" s="35" t="n">
        <v>226</v>
      </c>
      <c r="H75" s="35" t="n">
        <v>362</v>
      </c>
      <c r="I75" s="35" t="n">
        <v>246</v>
      </c>
      <c r="J75" s="35" t="n">
        <v>210</v>
      </c>
      <c r="K75" s="35" t="n">
        <v>323</v>
      </c>
      <c r="L75" s="161" t="n"/>
    </row>
    <row r="76">
      <c r="A76" s="15" t="inlineStr">
        <is>
          <t>Trade Receivables</t>
        </is>
      </c>
      <c r="B76" s="35" t="n"/>
      <c r="C76" s="35" t="n"/>
      <c r="D76" s="35" t="n">
        <v>1414.14</v>
      </c>
      <c r="E76" s="35" t="n">
        <v>1281.36</v>
      </c>
      <c r="F76" s="35" t="n">
        <v>240</v>
      </c>
      <c r="G76" s="35" t="n">
        <v>374</v>
      </c>
      <c r="H76" s="35" t="n">
        <v>421</v>
      </c>
      <c r="I76" s="35" t="n">
        <v>386</v>
      </c>
      <c r="J76" s="35" t="n">
        <v>567</v>
      </c>
      <c r="K76" s="35" t="n">
        <v>1153</v>
      </c>
      <c r="L76" s="161" t="n"/>
    </row>
    <row r="77">
      <c r="A77" s="15" t="inlineStr">
        <is>
          <t>Cash And Cash Equivalents (including FDs)</t>
        </is>
      </c>
      <c r="B77" s="35" t="n"/>
      <c r="C77" s="35" t="n"/>
      <c r="D77" s="35" t="n">
        <v>43.86</v>
      </c>
      <c r="E77" s="35" t="n">
        <v>419.17</v>
      </c>
      <c r="F77" s="35" t="n">
        <v>412</v>
      </c>
      <c r="G77" s="35" t="n">
        <v>311</v>
      </c>
      <c r="H77" s="35" t="n">
        <v>210</v>
      </c>
      <c r="I77" s="35" t="n">
        <v>223</v>
      </c>
      <c r="J77" s="35" t="n">
        <v>230</v>
      </c>
      <c r="K77" s="35" t="n">
        <v>538</v>
      </c>
      <c r="L77" s="161" t="n"/>
    </row>
    <row r="78">
      <c r="A78" s="15" t="inlineStr">
        <is>
          <t>Short Term Loans And Advances</t>
        </is>
      </c>
      <c r="B78" s="35" t="n"/>
      <c r="C78" s="35" t="n"/>
      <c r="D78" s="35" t="n">
        <v>0</v>
      </c>
      <c r="E78" s="35" t="n">
        <v>0</v>
      </c>
      <c r="F78" s="35" t="n">
        <v>0</v>
      </c>
      <c r="G78" s="35" t="n">
        <v>0</v>
      </c>
      <c r="H78" s="35" t="n">
        <v>0</v>
      </c>
      <c r="I78" s="35" t="n">
        <v>0</v>
      </c>
      <c r="J78" s="35" t="n">
        <v>0</v>
      </c>
      <c r="K78" s="35" t="n">
        <v>0</v>
      </c>
      <c r="L78" s="161" t="n"/>
    </row>
    <row r="79">
      <c r="A79" s="45" t="inlineStr">
        <is>
          <t>Contract Assets + Other Current Assets</t>
        </is>
      </c>
      <c r="B79" s="46" t="n"/>
      <c r="C79" s="46" t="n"/>
      <c r="D79" s="46" t="n">
        <v>520.96</v>
      </c>
      <c r="E79" s="46" t="n">
        <v>482.13</v>
      </c>
      <c r="F79" s="46" t="n">
        <v>223</v>
      </c>
      <c r="G79" s="46" t="n">
        <v>335</v>
      </c>
      <c r="H79" s="46" t="n">
        <v>356</v>
      </c>
      <c r="I79" s="46" t="n">
        <v>473</v>
      </c>
      <c r="J79" s="46" t="n">
        <v>576</v>
      </c>
      <c r="K79" s="46" t="n">
        <v>677</v>
      </c>
      <c r="L79" s="161" t="n"/>
    </row>
    <row r="80">
      <c r="A80" s="28" t="inlineStr">
        <is>
          <t>Total Current Assets</t>
        </is>
      </c>
      <c r="B80" s="36" t="n"/>
      <c r="C80" s="36" t="n"/>
      <c r="D80" s="36" t="n">
        <v>3154.9</v>
      </c>
      <c r="E80" s="36" t="n">
        <v>3221.59</v>
      </c>
      <c r="F80" s="36">
        <f>F74+F75+F76+F77+F78+F79</f>
        <v/>
      </c>
      <c r="G80" s="36">
        <f>G74+G75+G76+G77+G78+G79</f>
        <v/>
      </c>
      <c r="H80" s="36">
        <f>H74+H75+H76+H77+H78+H79</f>
        <v/>
      </c>
      <c r="I80" s="36">
        <f>I74+I75+I76+I77+I78+I79</f>
        <v/>
      </c>
      <c r="J80" s="36">
        <f>J74+J75+J76+J77+J78+J79</f>
        <v/>
      </c>
      <c r="K80" s="36">
        <f>K74+K75+K76+K77+K78+K79</f>
        <v/>
      </c>
      <c r="L80" s="161" t="n"/>
    </row>
    <row r="81">
      <c r="A81" s="21" t="inlineStr">
        <is>
          <t>Total Assets</t>
        </is>
      </c>
      <c r="B81" s="47" t="n"/>
      <c r="C81" s="47" t="n"/>
      <c r="D81" s="47" t="n">
        <v>8369.360000000001</v>
      </c>
      <c r="E81" s="47" t="n">
        <v>9353.32</v>
      </c>
      <c r="F81" s="47">
        <f>F80+F72</f>
        <v/>
      </c>
      <c r="G81" s="47">
        <f>G80+G72</f>
        <v/>
      </c>
      <c r="H81" s="47">
        <f>H80+H72</f>
        <v/>
      </c>
      <c r="I81" s="47">
        <f>I80+I72</f>
        <v/>
      </c>
      <c r="J81" s="47">
        <f>J80+J72</f>
        <v/>
      </c>
      <c r="K81" s="47">
        <f>K80+K72</f>
        <v/>
      </c>
      <c r="L81" s="161" t="n"/>
    </row>
    <row r="82">
      <c r="A82" s="30" t="inlineStr">
        <is>
          <t>OTHER ADDITIONAL INFORMATION</t>
        </is>
      </c>
      <c r="B82" s="37" t="n"/>
      <c r="C82" s="37" t="n"/>
      <c r="D82" s="37" t="n"/>
      <c r="E82" s="37" t="n"/>
      <c r="F82" s="42" t="n"/>
      <c r="G82" s="42" t="n"/>
      <c r="H82" s="42" t="n"/>
      <c r="I82" s="42" t="n"/>
      <c r="J82" s="42" t="n"/>
      <c r="K82" s="42" t="n"/>
      <c r="L82" s="161" t="n"/>
    </row>
    <row r="83">
      <c r="A83" s="30" t="inlineStr">
        <is>
          <t>CONTINGENT LIABILITIES, COMMITMENTS</t>
        </is>
      </c>
      <c r="B83" s="37" t="n"/>
      <c r="C83" s="37" t="n"/>
      <c r="D83" s="37" t="n"/>
      <c r="E83" s="37" t="n"/>
      <c r="F83" s="42" t="n"/>
      <c r="G83" s="37" t="n"/>
      <c r="H83" s="37" t="n"/>
      <c r="I83" s="37" t="n"/>
      <c r="J83" s="37" t="n"/>
      <c r="K83" s="43" t="n"/>
      <c r="L83" s="161" t="n"/>
      <c r="M83" s="6" t="n"/>
    </row>
    <row r="84">
      <c r="A84" s="15" t="inlineStr">
        <is>
          <t>Contingent Liabilities</t>
        </is>
      </c>
      <c r="B84" s="35" t="n"/>
      <c r="C84" s="35" t="n"/>
      <c r="D84" s="35" t="n">
        <v>568.4400000000001</v>
      </c>
      <c r="E84" s="35" t="n">
        <v>375.27</v>
      </c>
      <c r="F84" s="35" t="n">
        <v>552.55</v>
      </c>
      <c r="G84" s="35" t="n">
        <v>586.65</v>
      </c>
      <c r="H84" s="35" t="n">
        <v>562.46</v>
      </c>
      <c r="I84" s="35" t="n">
        <v>647.16</v>
      </c>
      <c r="J84" s="35" t="n">
        <v>732.48</v>
      </c>
      <c r="K84" s="35" t="n">
        <v>0</v>
      </c>
      <c r="L84" s="161" t="n"/>
    </row>
    <row r="85">
      <c r="A85" s="2" t="n"/>
      <c r="B85" s="2" t="n"/>
      <c r="C85" s="2" t="n"/>
      <c r="D85" s="2" t="n"/>
      <c r="E85" s="2" t="n"/>
      <c r="F85" s="2" t="n"/>
      <c r="G85" s="48" t="n"/>
      <c r="H85" s="48" t="n"/>
      <c r="I85" s="48" t="n"/>
      <c r="J85" s="48" t="n"/>
      <c r="K85" s="49" t="n"/>
    </row>
    <row r="86">
      <c r="A86" s="2" t="n"/>
      <c r="B86" s="2" t="n"/>
      <c r="C86" s="2" t="n"/>
      <c r="D86" s="2" t="n"/>
      <c r="E86" s="2" t="n"/>
      <c r="F86" s="2" t="n"/>
      <c r="G86" s="50" t="n"/>
      <c r="H86" s="50" t="n"/>
      <c r="I86" s="50" t="n"/>
      <c r="J86" s="50" t="n"/>
      <c r="K86" s="50" t="n"/>
    </row>
    <row r="87" ht="15" customHeight="1" s="191" thickBot="1">
      <c r="A87" s="13" t="inlineStr">
        <is>
          <t>CASH FLOW STATEMENT (in Crs)</t>
        </is>
      </c>
      <c r="B87" s="14" t="n"/>
      <c r="C87" s="14" t="n"/>
      <c r="D87" s="14" t="inlineStr">
        <is>
          <t>FY 19</t>
        </is>
      </c>
      <c r="E87" s="14" t="inlineStr">
        <is>
          <t>FY 20</t>
        </is>
      </c>
      <c r="F87" s="14" t="inlineStr">
        <is>
          <t>FY 21</t>
        </is>
      </c>
      <c r="G87" s="14" t="inlineStr">
        <is>
          <t>FY 22</t>
        </is>
      </c>
      <c r="H87" s="14" t="inlineStr">
        <is>
          <t>FY 23</t>
        </is>
      </c>
      <c r="I87" s="14" t="inlineStr">
        <is>
          <t>FY 24</t>
        </is>
      </c>
      <c r="J87" s="14" t="inlineStr">
        <is>
          <t>FY 25</t>
        </is>
      </c>
      <c r="K87" s="14" t="inlineStr">
        <is>
          <t>FY 26</t>
        </is>
      </c>
    </row>
    <row r="88" ht="15" customFormat="1" customHeight="1" s="9" thickBot="1">
      <c r="A88" s="51" t="n"/>
      <c r="B88" s="51" t="n"/>
      <c r="C88" s="51" t="n"/>
      <c r="D88" s="51" t="n"/>
      <c r="E88" s="51" t="n"/>
      <c r="F88" s="51" t="n"/>
      <c r="G88" s="51" t="n"/>
      <c r="H88" s="51" t="n"/>
      <c r="I88" s="51" t="n"/>
      <c r="J88" s="51" t="n"/>
      <c r="K88" s="51" t="n"/>
      <c r="L88" s="7" t="n"/>
      <c r="M88" s="8" t="n"/>
    </row>
    <row r="89" ht="15" customFormat="1" customHeight="1" s="1" thickBot="1">
      <c r="A89" s="155" t="inlineStr">
        <is>
          <t>Cash from Operating Activity -</t>
        </is>
      </c>
      <c r="B89" s="144" t="n"/>
      <c r="C89" s="156" t="n"/>
      <c r="D89" s="156" t="n">
        <v>1098</v>
      </c>
      <c r="E89" s="156" t="n">
        <v>1394</v>
      </c>
      <c r="F89" s="156" t="n">
        <v>303</v>
      </c>
      <c r="G89" s="156" t="n">
        <v>95</v>
      </c>
      <c r="H89" s="156" t="n">
        <v>13</v>
      </c>
      <c r="I89" s="156" t="n">
        <v>129</v>
      </c>
      <c r="J89" s="156" t="n">
        <v>-88</v>
      </c>
      <c r="K89" s="156" t="n">
        <v>84</v>
      </c>
    </row>
    <row r="90" customFormat="1" s="1">
      <c r="A90" s="157" t="inlineStr">
        <is>
          <t>Profit from operations</t>
        </is>
      </c>
      <c r="B90" s="144" t="n"/>
      <c r="C90" s="156" t="n"/>
      <c r="D90" s="156" t="n">
        <v>1454</v>
      </c>
      <c r="E90" s="156" t="n">
        <v>1286</v>
      </c>
      <c r="F90" s="156" t="n">
        <v>407</v>
      </c>
      <c r="G90" s="156" t="n">
        <v>224</v>
      </c>
      <c r="H90" s="156" t="n">
        <v>296</v>
      </c>
      <c r="I90" s="156" t="n">
        <v>407</v>
      </c>
      <c r="J90" s="156" t="n">
        <v>466</v>
      </c>
      <c r="K90" s="156" t="n">
        <v>453</v>
      </c>
    </row>
    <row r="91">
      <c r="A91" s="145" t="inlineStr">
        <is>
          <t>Receivables</t>
        </is>
      </c>
      <c r="B91" s="143" t="n"/>
      <c r="C91" s="143" t="n"/>
      <c r="D91" s="143" t="n"/>
      <c r="E91" s="143" t="n"/>
      <c r="F91" s="143" t="n"/>
      <c r="G91" s="143" t="n"/>
      <c r="H91" s="143" t="n"/>
      <c r="I91" s="143" t="n"/>
      <c r="J91" s="143" t="n"/>
      <c r="K91" s="143" t="n"/>
    </row>
    <row r="92">
      <c r="A92" s="145" t="inlineStr">
        <is>
          <t>Inventory</t>
        </is>
      </c>
      <c r="B92" s="143" t="n"/>
      <c r="C92" s="143" t="n"/>
      <c r="D92" s="143" t="n"/>
      <c r="E92" s="143" t="n"/>
      <c r="F92" s="143" t="n"/>
      <c r="G92" s="143" t="n"/>
      <c r="H92" s="143" t="n"/>
      <c r="I92" s="143" t="n"/>
      <c r="J92" s="143" t="n"/>
      <c r="K92" s="143" t="n"/>
    </row>
    <row r="93">
      <c r="A93" s="145" t="inlineStr">
        <is>
          <t>Change in other loans/advances</t>
        </is>
      </c>
      <c r="B93" s="143" t="n"/>
      <c r="C93" s="143" t="n"/>
      <c r="D93" s="143" t="n">
        <v>438</v>
      </c>
      <c r="E93" s="143" t="n">
        <v>-42</v>
      </c>
      <c r="F93" s="146" t="n">
        <v>1037</v>
      </c>
      <c r="G93" s="143" t="n">
        <v>107</v>
      </c>
      <c r="H93" s="143" t="n">
        <v>105</v>
      </c>
      <c r="I93" s="143" t="n">
        <v>978</v>
      </c>
      <c r="J93" s="146" t="n">
        <v>1043</v>
      </c>
      <c r="K93" s="146" t="n">
        <v>2103</v>
      </c>
    </row>
    <row r="94">
      <c r="A94" s="145" t="inlineStr">
        <is>
          <t>Loans Advances</t>
        </is>
      </c>
      <c r="B94" s="143" t="n"/>
      <c r="C94" s="143" t="n"/>
      <c r="D94" s="143" t="n"/>
      <c r="E94" s="143" t="n"/>
      <c r="F94" s="143" t="n"/>
      <c r="G94" s="143" t="n"/>
      <c r="H94" s="143" t="n"/>
      <c r="I94" s="143" t="n"/>
      <c r="J94" s="143" t="n"/>
      <c r="K94" s="143" t="n"/>
    </row>
    <row r="95" ht="15" customHeight="1" s="191" thickBot="1">
      <c r="A95" s="145" t="inlineStr">
        <is>
          <t>Other WC items</t>
        </is>
      </c>
      <c r="B95" s="143" t="n"/>
      <c r="C95" s="143" t="n"/>
      <c r="D95" s="143" t="n"/>
      <c r="E95" s="143" t="n"/>
      <c r="F95" s="143" t="n"/>
      <c r="G95" s="143" t="n"/>
      <c r="H95" s="143" t="n"/>
      <c r="I95" s="143" t="n"/>
      <c r="J95" s="143" t="n"/>
      <c r="K95" s="143" t="n"/>
    </row>
    <row r="96" customFormat="1" s="1">
      <c r="A96" s="157" t="inlineStr">
        <is>
          <t>Working capital changes</t>
        </is>
      </c>
      <c r="B96" s="144" t="n"/>
      <c r="C96" s="144" t="n"/>
      <c r="D96" s="144" t="n">
        <v>-126</v>
      </c>
      <c r="E96" s="144" t="n">
        <v>293</v>
      </c>
      <c r="F96" s="156" t="n">
        <v>-156</v>
      </c>
      <c r="G96" s="144" t="n">
        <v>-108</v>
      </c>
      <c r="H96" s="144" t="n">
        <v>-282</v>
      </c>
      <c r="I96" s="144" t="n">
        <v>-301</v>
      </c>
      <c r="J96" s="144" t="n">
        <v>-551</v>
      </c>
      <c r="K96" s="144" t="n">
        <v>-342</v>
      </c>
    </row>
    <row r="97" ht="15" customHeight="1" s="191" thickBot="1">
      <c r="A97" s="145" t="inlineStr">
        <is>
          <t>Direct taxes</t>
        </is>
      </c>
      <c r="B97" s="143" t="n"/>
      <c r="C97" s="143" t="n"/>
      <c r="D97" s="143" t="n">
        <v>-230</v>
      </c>
      <c r="E97" s="143" t="n">
        <v>-185</v>
      </c>
      <c r="F97" s="143" t="n">
        <v>52</v>
      </c>
      <c r="G97" s="143" t="n">
        <v>-21</v>
      </c>
      <c r="H97" s="143" t="n">
        <v>0</v>
      </c>
      <c r="I97" s="143" t="n">
        <v>24</v>
      </c>
      <c r="J97" s="143" t="n">
        <v>-2</v>
      </c>
      <c r="K97" s="146" t="n">
        <v>-27</v>
      </c>
    </row>
    <row r="98" customFormat="1" s="1">
      <c r="A98" s="158" t="inlineStr">
        <is>
          <t>Cash from Investing Activity -</t>
        </is>
      </c>
      <c r="B98" s="159" t="n"/>
      <c r="C98" s="160" t="n"/>
      <c r="D98" s="160" t="n">
        <v>-1002</v>
      </c>
      <c r="E98" s="160" t="n">
        <v>-1289</v>
      </c>
      <c r="F98" s="159" t="n">
        <v>-32</v>
      </c>
      <c r="G98" s="160" t="n">
        <v>-71</v>
      </c>
      <c r="H98" s="160" t="n">
        <v>19</v>
      </c>
      <c r="I98" s="160" t="n">
        <v>1</v>
      </c>
      <c r="J98" s="160" t="n">
        <v>-47</v>
      </c>
      <c r="K98" s="160" t="n">
        <v>-57</v>
      </c>
    </row>
    <row r="99">
      <c r="A99" s="147" t="inlineStr">
        <is>
          <t>Fixed assets purchased</t>
        </is>
      </c>
      <c r="B99" s="148" t="n"/>
      <c r="C99" s="148" t="n"/>
      <c r="D99" s="148" t="n"/>
      <c r="E99" s="148" t="n"/>
      <c r="F99" s="148" t="n"/>
      <c r="G99" s="148" t="n"/>
      <c r="H99" s="149" t="n"/>
      <c r="I99" s="149" t="n"/>
      <c r="J99" s="149" t="n"/>
      <c r="K99" s="149" t="n"/>
    </row>
    <row r="100">
      <c r="A100" s="147" t="inlineStr">
        <is>
          <t>Fixed assets sold</t>
        </is>
      </c>
      <c r="B100" s="148" t="n"/>
      <c r="C100" s="148" t="n"/>
      <c r="D100" s="148" t="n"/>
      <c r="E100" s="148" t="n"/>
      <c r="F100" s="148" t="n"/>
      <c r="G100" s="148" t="n"/>
      <c r="H100" s="148" t="n"/>
      <c r="I100" s="148" t="n"/>
      <c r="J100" s="148" t="n"/>
      <c r="K100" s="148" t="n"/>
    </row>
    <row r="101">
      <c r="A101" s="147" t="inlineStr">
        <is>
          <t>Capital WIP</t>
        </is>
      </c>
      <c r="B101" s="148" t="n"/>
      <c r="C101" s="148" t="n"/>
      <c r="D101" s="148" t="n"/>
      <c r="E101" s="148" t="n"/>
      <c r="F101" s="148" t="n"/>
      <c r="G101" s="148" t="n"/>
      <c r="H101" s="148" t="n"/>
      <c r="I101" s="148" t="n"/>
      <c r="J101" s="148" t="n"/>
      <c r="K101" s="148" t="n"/>
    </row>
    <row r="102">
      <c r="A102" s="147" t="inlineStr">
        <is>
          <t>Investments purchased</t>
        </is>
      </c>
      <c r="B102" s="148" t="n"/>
      <c r="C102" s="148" t="n"/>
      <c r="D102" s="148" t="n"/>
      <c r="E102" s="148" t="n"/>
      <c r="F102" s="148" t="n"/>
      <c r="G102" s="148" t="n"/>
      <c r="H102" s="148" t="n"/>
      <c r="I102" s="148" t="n"/>
      <c r="J102" s="148" t="n"/>
      <c r="K102" s="148" t="n"/>
    </row>
    <row r="103">
      <c r="A103" s="147" t="inlineStr">
        <is>
          <t>Investments sold</t>
        </is>
      </c>
      <c r="B103" s="148" t="n"/>
      <c r="C103" s="148" t="n"/>
      <c r="D103" s="148" t="n"/>
      <c r="E103" s="148" t="n"/>
      <c r="F103" s="148" t="n"/>
      <c r="G103" s="148" t="n"/>
      <c r="H103" s="148" t="n"/>
      <c r="I103" s="148" t="n"/>
      <c r="J103" s="148" t="n"/>
      <c r="K103" s="148" t="n"/>
    </row>
    <row r="104">
      <c r="A104" s="147" t="inlineStr">
        <is>
          <t>Interest received</t>
        </is>
      </c>
      <c r="B104" s="148" t="n"/>
      <c r="C104" s="148" t="n"/>
      <c r="D104" s="148" t="n"/>
      <c r="E104" s="148" t="n"/>
      <c r="F104" s="148" t="n"/>
      <c r="G104" s="148" t="n"/>
      <c r="H104" s="148" t="n"/>
      <c r="I104" s="148" t="n"/>
      <c r="J104" s="148" t="n"/>
      <c r="K104" s="148" t="n"/>
    </row>
    <row r="105">
      <c r="A105" s="147" t="inlineStr">
        <is>
          <t>Dividends received</t>
        </is>
      </c>
      <c r="B105" s="148" t="n"/>
      <c r="C105" s="148" t="n"/>
      <c r="D105" s="148" t="n"/>
      <c r="E105" s="148" t="n"/>
      <c r="F105" s="148" t="n"/>
      <c r="G105" s="148" t="n"/>
      <c r="H105" s="148" t="n"/>
      <c r="I105" s="148" t="n"/>
      <c r="J105" s="148" t="n"/>
      <c r="K105" s="148" t="n"/>
    </row>
    <row r="106">
      <c r="A106" s="147" t="inlineStr">
        <is>
          <t>Invest in subsidiaries</t>
        </is>
      </c>
      <c r="B106" s="148" t="n"/>
      <c r="C106" s="148" t="n"/>
      <c r="D106" s="148" t="n"/>
      <c r="E106" s="148" t="n"/>
      <c r="F106" s="148" t="n"/>
      <c r="G106" s="149" t="n"/>
      <c r="H106" s="148" t="n"/>
      <c r="I106" s="149" t="n"/>
      <c r="J106" s="149" t="n"/>
      <c r="K106" s="149" t="n"/>
    </row>
    <row r="107">
      <c r="A107" s="147" t="inlineStr">
        <is>
          <t>Redemp n Canc of Shares</t>
        </is>
      </c>
      <c r="B107" s="148" t="n"/>
      <c r="C107" s="148" t="n"/>
      <c r="D107" s="148" t="n"/>
      <c r="E107" s="148" t="n"/>
      <c r="F107" s="148" t="n"/>
      <c r="G107" s="148" t="n"/>
      <c r="H107" s="148" t="n"/>
      <c r="I107" s="148" t="n"/>
      <c r="J107" s="148" t="n"/>
      <c r="K107" s="148" t="n"/>
    </row>
    <row r="108">
      <c r="A108" s="147" t="inlineStr">
        <is>
          <t>Acquisition of companies</t>
        </is>
      </c>
      <c r="B108" s="148" t="n"/>
      <c r="C108" s="148" t="n"/>
      <c r="D108" s="148" t="n"/>
      <c r="E108" s="148" t="n"/>
      <c r="F108" s="148" t="n"/>
      <c r="G108" s="148" t="n"/>
      <c r="H108" s="148" t="n"/>
      <c r="I108" s="148" t="n"/>
      <c r="J108" s="148" t="n"/>
      <c r="K108" s="148" t="n"/>
    </row>
    <row r="109" ht="15" customHeight="1" s="191" thickBot="1">
      <c r="A109" s="147" t="inlineStr">
        <is>
          <t>Other investing items</t>
        </is>
      </c>
      <c r="B109" s="148" t="n"/>
      <c r="C109" s="148" t="n"/>
      <c r="D109" s="148" t="n"/>
      <c r="E109" s="148" t="n"/>
      <c r="F109" s="148" t="n"/>
      <c r="G109" s="148" t="n"/>
      <c r="H109" s="148" t="n"/>
      <c r="I109" s="148" t="n"/>
      <c r="J109" s="148" t="n"/>
      <c r="K109" s="148" t="n"/>
    </row>
    <row r="110" customFormat="1" s="1">
      <c r="A110" s="155" t="inlineStr">
        <is>
          <t>Cash from Financing Activity -</t>
        </is>
      </c>
      <c r="B110" s="144" t="n"/>
      <c r="C110" s="144" t="n"/>
      <c r="D110" s="144" t="n">
        <v>81</v>
      </c>
      <c r="E110" s="144" t="n">
        <v>271</v>
      </c>
      <c r="F110" s="156" t="n">
        <v>-277</v>
      </c>
      <c r="G110" s="144" t="n">
        <v>-43</v>
      </c>
      <c r="H110" s="144" t="n">
        <v>-58</v>
      </c>
      <c r="I110" s="156" t="n">
        <v>-155</v>
      </c>
      <c r="J110" s="144" t="n">
        <v>192</v>
      </c>
      <c r="K110" s="156" t="n">
        <v>197</v>
      </c>
    </row>
    <row r="111">
      <c r="A111" s="145" t="inlineStr">
        <is>
          <t>Proceeds from borrowings</t>
        </is>
      </c>
      <c r="B111" s="143" t="n"/>
      <c r="C111" s="143" t="n"/>
      <c r="D111" s="143" t="n"/>
      <c r="E111" s="143" t="n"/>
      <c r="F111" s="143" t="n"/>
      <c r="G111" s="143" t="n"/>
      <c r="H111" s="143" t="n"/>
      <c r="I111" s="143" t="n"/>
      <c r="J111" s="143" t="n"/>
      <c r="K111" s="143" t="n"/>
    </row>
    <row r="112">
      <c r="A112" s="145" t="inlineStr">
        <is>
          <t>Repayment of borrowings</t>
        </is>
      </c>
      <c r="B112" s="143" t="n"/>
      <c r="C112" s="143" t="n"/>
      <c r="D112" s="143" t="n"/>
      <c r="E112" s="143" t="n"/>
      <c r="F112" s="146" t="n"/>
      <c r="G112" s="143" t="n"/>
      <c r="H112" s="143" t="n"/>
      <c r="I112" s="143" t="n"/>
      <c r="J112" s="143" t="n"/>
      <c r="K112" s="143" t="n"/>
    </row>
    <row r="113">
      <c r="A113" s="145" t="inlineStr">
        <is>
          <t>Interest paid fin</t>
        </is>
      </c>
      <c r="B113" s="143" t="n"/>
      <c r="C113" s="143" t="n"/>
      <c r="D113" s="143" t="n"/>
      <c r="E113" s="143" t="n"/>
      <c r="F113" s="143" t="n"/>
      <c r="G113" s="143" t="n"/>
      <c r="H113" s="143" t="n"/>
      <c r="I113" s="143" t="n"/>
      <c r="J113" s="143" t="n"/>
      <c r="K113" s="143" t="n"/>
    </row>
    <row r="114">
      <c r="A114" s="145" t="inlineStr">
        <is>
          <t>Dividends paid</t>
        </is>
      </c>
      <c r="B114" s="143" t="n"/>
      <c r="C114" s="143" t="n"/>
      <c r="D114" s="143" t="n"/>
      <c r="E114" s="143" t="n"/>
      <c r="F114" s="143" t="n"/>
      <c r="G114" s="143" t="n"/>
      <c r="H114" s="143" t="n"/>
      <c r="I114" s="143" t="n"/>
      <c r="J114" s="143" t="n"/>
      <c r="K114" s="143" t="n"/>
    </row>
    <row r="115">
      <c r="A115" s="145" t="inlineStr">
        <is>
          <t>Financial liabilities</t>
        </is>
      </c>
      <c r="B115" s="143" t="n"/>
      <c r="C115" s="143" t="n"/>
      <c r="D115" s="143" t="n"/>
      <c r="E115" s="143" t="n"/>
      <c r="F115" s="143" t="n"/>
      <c r="G115" s="143" t="n"/>
      <c r="H115" s="143" t="n"/>
      <c r="I115" s="143" t="n"/>
      <c r="J115" s="143" t="n"/>
      <c r="K115" s="143" t="n"/>
    </row>
    <row r="116" ht="15" customHeight="1" s="191" thickBot="1">
      <c r="A116" s="145" t="inlineStr">
        <is>
          <t>Other financing items</t>
        </is>
      </c>
      <c r="B116" s="143" t="n"/>
      <c r="C116" s="143" t="n"/>
      <c r="D116" s="143" t="n"/>
      <c r="E116" s="143" t="n"/>
      <c r="F116" s="143" t="n"/>
      <c r="G116" s="143" t="n"/>
      <c r="H116" s="143" t="n"/>
      <c r="I116" s="143" t="n"/>
      <c r="J116" s="143" t="n"/>
      <c r="K116" s="143" t="n"/>
    </row>
    <row r="117" customFormat="1" s="1">
      <c r="A117" s="158" t="inlineStr">
        <is>
          <t>Net Cash Flow</t>
        </is>
      </c>
      <c r="B117" s="159" t="n"/>
      <c r="C117" s="159" t="n"/>
      <c r="D117" s="159" t="n">
        <v>177</v>
      </c>
      <c r="E117" s="159" t="n">
        <v>375</v>
      </c>
      <c r="F117" s="159">
        <f>F89+F98+F110</f>
        <v/>
      </c>
      <c r="G117" s="159">
        <f>G89+G98+G110</f>
        <v/>
      </c>
      <c r="H117" s="159">
        <f>H89+H98+H110</f>
        <v/>
      </c>
      <c r="I117" s="159">
        <f>I89+I98+I110</f>
        <v/>
      </c>
      <c r="J117" s="159">
        <f>J89+J98+J110</f>
        <v/>
      </c>
      <c r="K117" s="159">
        <f>K89+K98+K110</f>
        <v/>
      </c>
    </row>
    <row r="118">
      <c r="A118" s="150" t="inlineStr">
        <is>
          <t>Free Cash Flow</t>
        </is>
      </c>
      <c r="B118" s="151" t="n"/>
      <c r="C118" s="151" t="n"/>
      <c r="D118" s="151" t="n">
        <v>369</v>
      </c>
      <c r="E118" s="151" t="n">
        <v>683</v>
      </c>
      <c r="F118" s="152" t="n">
        <v>273</v>
      </c>
      <c r="G118" s="151" t="n">
        <v>55</v>
      </c>
      <c r="H118" s="151" t="n">
        <v>-32</v>
      </c>
      <c r="I118" s="152" t="n">
        <v>79</v>
      </c>
      <c r="J118" s="152" t="n">
        <v>-143</v>
      </c>
      <c r="K118" s="152" t="n">
        <v>24</v>
      </c>
    </row>
    <row r="119">
      <c r="A119" s="153" t="inlineStr">
        <is>
          <t>CFO/OP</t>
        </is>
      </c>
      <c r="B119" s="154" t="n"/>
      <c r="C119" s="154" t="n"/>
      <c r="D119" s="154" t="n">
        <v>0.93</v>
      </c>
      <c r="E119" s="154" t="n">
        <v>1.17</v>
      </c>
      <c r="F119" s="154">
        <f>F89/F90</f>
        <v/>
      </c>
      <c r="G119" s="154">
        <f>G89/G90</f>
        <v/>
      </c>
      <c r="H119" s="154">
        <f>H89/H90</f>
        <v/>
      </c>
      <c r="I119" s="154">
        <f>I89/I90</f>
        <v/>
      </c>
      <c r="J119" s="154">
        <f>J89/J90</f>
        <v/>
      </c>
      <c r="K119" s="154">
        <f>K89/K90</f>
        <v/>
      </c>
    </row>
    <row r="121">
      <c r="A121" t="inlineStr">
        <is>
          <t>Note: BB in current consolidated form dates from FY20 (post Jan-2019 Black Box Corp acquisition). Full 3-statements FY21-FY26; FY19-FY20 partial (revenue/PAT); FY17-FY18 (AGC era) not comparable. Source: BB FY26 Investor Presentation pp.21-24; Annual Reports FY24/FY25.</t>
        </is>
      </c>
    </row>
  </sheetData>
  <mergeCells count="1">
    <mergeCell ref="A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0"/>
  <sheetViews>
    <sheetView showGridLines="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2" sqref="A2"/>
    </sheetView>
  </sheetViews>
  <sheetFormatPr baseColWidth="8" defaultColWidth="10" defaultRowHeight="14.4"/>
  <cols>
    <col width="40.6640625" bestFit="1" customWidth="1" style="132" min="1" max="1"/>
    <col width="6.109375" bestFit="1" customWidth="1" style="132" min="2" max="2"/>
    <col width="12.77734375" bestFit="1" customWidth="1" style="191" min="3" max="3"/>
  </cols>
  <sheetData>
    <row r="1" ht="18" customHeight="1" s="191">
      <c r="A1" s="192" t="inlineStr">
        <is>
          <t>BLACK BOX LTD - OPERATING DRIVERS &amp; KPIs (CONSOLIDATED)</t>
        </is>
      </c>
    </row>
    <row r="3" ht="15" customHeight="1" s="191" thickBot="1">
      <c r="A3" s="57" t="inlineStr">
        <is>
          <t>SECTION 1 — REVENUE &amp; GROWTH (organic vs inorganic)</t>
        </is>
      </c>
      <c r="B3" s="133" t="n"/>
      <c r="C3" s="77" t="n"/>
      <c r="D3" s="77" t="n"/>
      <c r="E3" s="77" t="n"/>
      <c r="F3" s="77" t="n"/>
      <c r="G3" s="77" t="inlineStr">
        <is>
          <t>FY 21</t>
        </is>
      </c>
      <c r="H3" s="77" t="inlineStr">
        <is>
          <t>FY 22</t>
        </is>
      </c>
      <c r="I3" s="77" t="inlineStr">
        <is>
          <t>FY 23</t>
        </is>
      </c>
      <c r="J3" s="77" t="inlineStr">
        <is>
          <t>FY 24</t>
        </is>
      </c>
      <c r="K3" s="77" t="inlineStr">
        <is>
          <t>FY 25</t>
        </is>
      </c>
      <c r="L3" s="77" t="inlineStr">
        <is>
          <t>FY 26</t>
        </is>
      </c>
      <c r="M3" s="77" t="inlineStr">
        <is>
          <t>FY 27E</t>
        </is>
      </c>
      <c r="N3" s="77" t="inlineStr">
        <is>
          <t>FY 28E</t>
        </is>
      </c>
      <c r="O3" s="77" t="inlineStr">
        <is>
          <t>FY 29E</t>
        </is>
      </c>
      <c r="P3" s="77" t="inlineStr">
        <is>
          <t>FY 30E</t>
        </is>
      </c>
      <c r="Q3" s="77" t="inlineStr">
        <is>
          <t>FY 31E</t>
        </is>
      </c>
      <c r="R3" s="77" t="inlineStr">
        <is>
          <t>FY 32E</t>
        </is>
      </c>
    </row>
    <row r="4">
      <c r="A4" s="11" t="inlineStr">
        <is>
          <t>Total revenue</t>
        </is>
      </c>
      <c r="B4" s="134" t="inlineStr">
        <is>
          <t>INR Cr</t>
        </is>
      </c>
      <c r="C4" s="61" t="n"/>
      <c r="D4" s="52" t="n"/>
      <c r="E4" s="52" t="n"/>
      <c r="F4" s="52" t="n"/>
      <c r="G4" s="60">
        <f>Historicals!F6</f>
        <v/>
      </c>
      <c r="H4" s="60">
        <f>Historicals!G6</f>
        <v/>
      </c>
      <c r="I4" s="60">
        <f>Historicals!H6</f>
        <v/>
      </c>
      <c r="J4" s="60">
        <f>Historicals!I6</f>
        <v/>
      </c>
      <c r="K4" s="60">
        <f>Historicals!J6</f>
        <v/>
      </c>
      <c r="L4" s="60">
        <f>Historicals!K6</f>
        <v/>
      </c>
      <c r="M4" s="60">
        <f>Forecast!D30</f>
        <v/>
      </c>
      <c r="N4" s="60">
        <f>Forecast!E30</f>
        <v/>
      </c>
      <c r="O4" s="60">
        <f>Forecast!F30</f>
        <v/>
      </c>
      <c r="P4" s="60">
        <f>Forecast!G30</f>
        <v/>
      </c>
      <c r="Q4" s="60">
        <f>Forecast!H30</f>
        <v/>
      </c>
      <c r="R4" s="60">
        <f>Forecast!I30</f>
        <v/>
      </c>
    </row>
    <row r="5" ht="13.8" customFormat="1" customHeight="1" s="2">
      <c r="A5" s="11" t="inlineStr">
        <is>
          <t>Revenue growth % YoY</t>
        </is>
      </c>
      <c r="B5" s="134" t="inlineStr">
        <is>
          <t>%</t>
        </is>
      </c>
      <c r="C5" s="52" t="n"/>
      <c r="D5" s="52" t="n"/>
      <c r="E5" s="52" t="n"/>
      <c r="F5" s="52" t="n"/>
      <c r="G5" s="52" t="n"/>
      <c r="H5" s="243">
        <f>H4/G4-1</f>
        <v/>
      </c>
      <c r="I5" s="243">
        <f>I4/H4-1</f>
        <v/>
      </c>
      <c r="J5" s="243">
        <f>J4/I4-1</f>
        <v/>
      </c>
      <c r="K5" s="212">
        <f>K4/J4-1</f>
        <v/>
      </c>
      <c r="L5" s="243">
        <f>L4/K4-1</f>
        <v/>
      </c>
      <c r="M5" s="243">
        <f>M4/L4-1</f>
        <v/>
      </c>
      <c r="N5" s="243">
        <f>N4/M4-1</f>
        <v/>
      </c>
      <c r="O5" s="243">
        <f>O4/N4-1</f>
        <v/>
      </c>
      <c r="P5" s="243">
        <f>P4/O4-1</f>
        <v/>
      </c>
      <c r="Q5" s="243">
        <f>Q4/P4-1</f>
        <v/>
      </c>
      <c r="R5" s="243">
        <f>R4/Q4-1</f>
        <v/>
      </c>
    </row>
    <row r="6" ht="13.8" customFormat="1" customHeight="1" s="2">
      <c r="A6" s="11" t="inlineStr">
        <is>
          <t>Inorganic (acquired) revenue added</t>
        </is>
      </c>
      <c r="B6" s="134" t="inlineStr">
        <is>
          <t>INR Cr</t>
        </is>
      </c>
      <c r="C6" s="52" t="n"/>
      <c r="D6" s="52" t="n"/>
      <c r="E6" s="52" t="n"/>
      <c r="F6" s="52" t="n"/>
      <c r="G6" s="52" t="n">
        <v>0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0</v>
      </c>
      <c r="M6" s="60">
        <f>Forecast!D5</f>
        <v/>
      </c>
      <c r="N6" s="60">
        <f>Forecast!E5</f>
        <v/>
      </c>
      <c r="O6" s="60">
        <f>Forecast!F5</f>
        <v/>
      </c>
      <c r="P6" s="60">
        <f>Forecast!G5</f>
        <v/>
      </c>
      <c r="Q6" s="60">
        <f>Forecast!H5</f>
        <v/>
      </c>
      <c r="R6" s="60">
        <f>Forecast!I5</f>
        <v/>
      </c>
    </row>
    <row r="7" ht="13.8" customFormat="1" customHeight="1" s="2">
      <c r="A7" s="11" t="inlineStr">
        <is>
          <t>Organic revenue growth % (ex-M&amp;A)</t>
        </is>
      </c>
      <c r="B7" s="134" t="inlineStr">
        <is>
          <t>%</t>
        </is>
      </c>
      <c r="C7" s="52" t="n"/>
      <c r="D7" s="52" t="n"/>
      <c r="E7" s="52" t="n"/>
      <c r="F7" s="52" t="n"/>
      <c r="G7" s="52" t="n"/>
      <c r="H7" s="243">
        <f>H4/G4-1</f>
        <v/>
      </c>
      <c r="I7" s="243">
        <f>I4/H4-1</f>
        <v/>
      </c>
      <c r="J7" s="243">
        <f>J4/I4-1</f>
        <v/>
      </c>
      <c r="K7" s="243">
        <f>K4/J4-1</f>
        <v/>
      </c>
      <c r="L7" s="243">
        <f>L4/K4-1</f>
        <v/>
      </c>
      <c r="M7" s="243">
        <f>Forecast!D4</f>
        <v/>
      </c>
      <c r="N7" s="243">
        <f>Forecast!E4</f>
        <v/>
      </c>
      <c r="O7" s="243">
        <f>Forecast!F4</f>
        <v/>
      </c>
      <c r="P7" s="243">
        <f>Forecast!G4</f>
        <v/>
      </c>
      <c r="Q7" s="243">
        <f>Forecast!H4</f>
        <v/>
      </c>
      <c r="R7" s="243">
        <f>Forecast!I4</f>
        <v/>
      </c>
    </row>
    <row r="8" ht="13.8" customFormat="1" customHeight="1" s="2">
      <c r="A8" s="11" t="n"/>
      <c r="B8" s="134" t="n"/>
      <c r="C8" s="52" t="n"/>
      <c r="D8" s="52" t="n"/>
      <c r="E8" s="52" t="n"/>
      <c r="F8" s="52" t="n"/>
      <c r="G8" s="52" t="n"/>
      <c r="H8" s="52" t="n"/>
      <c r="I8" s="52" t="n"/>
      <c r="J8" s="128" t="n"/>
      <c r="K8" s="128" t="n"/>
      <c r="L8" s="53" t="n"/>
      <c r="M8" s="53" t="n"/>
      <c r="N8" s="53" t="n"/>
      <c r="O8" s="53" t="n"/>
      <c r="P8" s="53" t="n"/>
      <c r="Q8" s="53" t="n"/>
      <c r="R8" s="53" t="n"/>
    </row>
    <row r="9" ht="13.8" customFormat="1" customHeight="1" s="2">
      <c r="A9" s="244" t="inlineStr">
        <is>
          <t>SECTION 2 — SEGMENT, RECURRING &amp; GEOGRAPHIC MIX (disclosed)</t>
        </is>
      </c>
      <c r="B9" s="134" t="n"/>
      <c r="C9" s="52" t="n"/>
      <c r="D9" s="52" t="n"/>
      <c r="E9" s="52" t="n"/>
      <c r="F9" s="52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</row>
    <row r="10" ht="13.8" customFormat="1" customHeight="1" s="2">
      <c r="A10" s="11" t="inlineStr">
        <is>
          <t>Global Solutions Integration (GSI) % rev</t>
        </is>
      </c>
      <c r="B10" s="134" t="inlineStr">
        <is>
          <t>%</t>
        </is>
      </c>
      <c r="C10" s="53" t="n"/>
      <c r="D10" s="53" t="n"/>
      <c r="E10" s="53" t="n"/>
      <c r="F10" s="53" t="n"/>
      <c r="G10" s="53" t="n"/>
      <c r="H10" s="53" t="n"/>
      <c r="I10" s="53" t="n"/>
      <c r="J10" s="53" t="n"/>
      <c r="K10" s="53" t="n"/>
      <c r="L10" s="211" t="n">
        <v>0.84</v>
      </c>
      <c r="M10" s="53" t="n"/>
      <c r="N10" s="53" t="n"/>
      <c r="O10" s="53" t="n"/>
      <c r="P10" s="53" t="n"/>
      <c r="Q10" s="53" t="n"/>
      <c r="R10" s="53" t="n"/>
    </row>
    <row r="11" ht="13.8" customFormat="1" customHeight="1" s="2">
      <c r="A11" s="11" t="inlineStr">
        <is>
          <t>Technology Product Solutions (TPS) % rev</t>
        </is>
      </c>
      <c r="B11" s="134" t="inlineStr">
        <is>
          <t>%</t>
        </is>
      </c>
      <c r="C11" s="53" t="n"/>
      <c r="D11" s="53" t="n"/>
      <c r="E11" s="53" t="n"/>
      <c r="F11" s="53" t="n"/>
      <c r="G11" s="53" t="n"/>
      <c r="H11" s="53" t="n"/>
      <c r="I11" s="53" t="n"/>
      <c r="J11" s="53" t="n"/>
      <c r="K11" s="53" t="n"/>
      <c r="L11" s="211" t="n">
        <v>0.14</v>
      </c>
      <c r="M11" s="53" t="n"/>
      <c r="N11" s="53" t="n"/>
      <c r="O11" s="53" t="n"/>
      <c r="P11" s="53" t="n"/>
      <c r="Q11" s="53" t="n"/>
      <c r="R11" s="53" t="n"/>
    </row>
    <row r="12" ht="13.8" customFormat="1" customHeight="1" s="2">
      <c r="A12" s="12" t="inlineStr">
        <is>
          <t>Other services % rev</t>
        </is>
      </c>
      <c r="B12" s="134" t="inlineStr">
        <is>
          <t>%</t>
        </is>
      </c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245" t="n">
        <v>0.02</v>
      </c>
      <c r="M12" s="54" t="n"/>
      <c r="N12" s="54" t="n"/>
      <c r="O12" s="54" t="n"/>
      <c r="P12" s="54" t="n"/>
      <c r="Q12" s="54" t="n"/>
      <c r="R12" s="54" t="n"/>
    </row>
    <row r="13" ht="13.8" customFormat="1" customHeight="1" s="2">
      <c r="A13" s="11" t="inlineStr">
        <is>
          <t>Recurring/managed services % rev</t>
        </is>
      </c>
      <c r="B13" s="134" t="inlineStr">
        <is>
          <t>%</t>
        </is>
      </c>
      <c r="C13" s="52" t="n"/>
      <c r="D13" s="211" t="n"/>
      <c r="E13" s="211" t="n"/>
      <c r="F13" s="211" t="n"/>
      <c r="G13" s="211" t="n"/>
      <c r="H13" s="211" t="n"/>
      <c r="I13" s="211" t="n"/>
      <c r="J13" s="211" t="n"/>
      <c r="K13" s="211" t="n">
        <v>0.3</v>
      </c>
      <c r="L13" s="211" t="n">
        <v>0.3</v>
      </c>
      <c r="M13" s="211" t="n"/>
      <c r="N13" s="211" t="n"/>
      <c r="O13" s="211" t="n"/>
      <c r="P13" s="211" t="n"/>
      <c r="Q13" s="211" t="n"/>
      <c r="R13" s="211" t="n"/>
    </row>
    <row r="14" ht="13.8" customFormat="1" customHeight="1" s="2">
      <c r="A14" s="11" t="inlineStr">
        <is>
          <t>Data-centre revenue % (mix)</t>
        </is>
      </c>
      <c r="B14" s="134" t="inlineStr">
        <is>
          <t>%</t>
        </is>
      </c>
      <c r="C14" s="52" t="n"/>
      <c r="D14" s="52" t="n"/>
      <c r="E14" s="52" t="n"/>
      <c r="F14" s="52" t="n"/>
      <c r="G14" s="52" t="n"/>
      <c r="H14" s="52" t="n"/>
      <c r="I14" s="52" t="n"/>
      <c r="J14" s="52" t="n"/>
      <c r="K14" s="60" t="n"/>
      <c r="L14" s="243" t="n">
        <v>0.17</v>
      </c>
      <c r="M14" s="243" t="n">
        <v>0.3</v>
      </c>
      <c r="N14" s="52" t="n"/>
      <c r="O14" s="52" t="n"/>
      <c r="P14" s="52" t="n"/>
      <c r="Q14" s="52" t="n"/>
      <c r="R14" s="52" t="n"/>
    </row>
    <row r="15" ht="13.8" customFormat="1" customHeight="1" s="2">
      <c r="A15" s="11" t="inlineStr">
        <is>
          <t>Geo mix: North America / Europe / India</t>
        </is>
      </c>
      <c r="B15" s="134" t="inlineStr">
        <is>
          <t>%</t>
        </is>
      </c>
      <c r="C15" s="52" t="n"/>
      <c r="D15" s="52" t="n"/>
      <c r="E15" s="212" t="n"/>
      <c r="F15" s="52" t="n"/>
      <c r="G15" s="52" t="n"/>
      <c r="H15" s="212" t="n"/>
      <c r="I15" s="212" t="n"/>
      <c r="J15" s="212" t="n"/>
      <c r="K15" s="212" t="n"/>
      <c r="L15" s="211" t="inlineStr">
        <is>
          <t>NA 69% | EU 9% | IN 6%</t>
        </is>
      </c>
      <c r="M15" s="211" t="n"/>
      <c r="N15" s="211" t="n"/>
      <c r="O15" s="211" t="n"/>
      <c r="P15" s="211" t="n"/>
      <c r="Q15" s="211" t="n"/>
      <c r="R15" s="211" t="n"/>
    </row>
    <row r="16" ht="13.8" customFormat="1" customHeight="1" s="2">
      <c r="A16" s="11" t="inlineStr">
        <is>
          <t>Geo mix: APAC / LatAm / MEA</t>
        </is>
      </c>
      <c r="B16" s="134" t="inlineStr">
        <is>
          <t>%</t>
        </is>
      </c>
      <c r="C16" s="211" t="n"/>
      <c r="D16" s="211" t="n"/>
      <c r="E16" s="211" t="n"/>
      <c r="F16" s="211" t="n"/>
      <c r="G16" s="211" t="n"/>
      <c r="H16" s="211" t="n"/>
      <c r="I16" s="211" t="n"/>
      <c r="J16" s="211" t="n"/>
      <c r="K16" s="211" t="n"/>
      <c r="L16" s="211" t="inlineStr">
        <is>
          <t>APAC 8% | LatAm 6% | MEA 2%</t>
        </is>
      </c>
      <c r="M16" s="211" t="n"/>
      <c r="N16" s="211" t="n"/>
      <c r="O16" s="211" t="n"/>
      <c r="P16" s="211" t="n"/>
      <c r="Q16" s="211" t="n"/>
      <c r="R16" s="211" t="n"/>
    </row>
    <row r="17" ht="13.8" customFormat="1" customHeight="1" s="2">
      <c r="A17" s="11" t="n"/>
      <c r="B17" s="134" t="n"/>
      <c r="C17" s="211" t="n"/>
      <c r="D17" s="211" t="n"/>
      <c r="E17" s="211" t="n"/>
      <c r="F17" s="211" t="n"/>
      <c r="G17" s="211" t="n"/>
      <c r="H17" s="211" t="n"/>
      <c r="I17" s="211" t="n"/>
      <c r="J17" s="211" t="n"/>
      <c r="K17" s="211" t="n"/>
      <c r="L17" s="211" t="n"/>
      <c r="M17" s="211" t="n"/>
      <c r="N17" s="211" t="n"/>
      <c r="O17" s="211" t="n"/>
      <c r="P17" s="211" t="n"/>
      <c r="Q17" s="211" t="n"/>
      <c r="R17" s="211" t="n"/>
    </row>
    <row r="18" ht="13.8" customFormat="1" customHeight="1" s="2">
      <c r="A18" s="244" t="inlineStr">
        <is>
          <t>SECTION 3 — MARGIN STRUCTURE</t>
        </is>
      </c>
      <c r="B18" s="134" t="n"/>
      <c r="C18" s="213" t="n"/>
      <c r="D18" s="213" t="n"/>
      <c r="E18" s="213" t="n"/>
      <c r="F18" s="213" t="n"/>
      <c r="G18" s="213" t="n"/>
      <c r="H18" s="213" t="n"/>
      <c r="I18" s="213" t="n"/>
      <c r="J18" s="213" t="n"/>
      <c r="K18" s="213" t="n"/>
      <c r="L18" s="213" t="n"/>
      <c r="M18" s="213" t="n"/>
      <c r="N18" s="213" t="n"/>
      <c r="O18" s="213" t="n"/>
      <c r="P18" s="213" t="n"/>
      <c r="Q18" s="213" t="n"/>
      <c r="R18" s="213" t="n"/>
    </row>
    <row r="19" ht="13.8" customFormat="1" customHeight="1" s="2">
      <c r="A19" s="131" t="inlineStr">
        <is>
          <t>Gross margin %</t>
        </is>
      </c>
      <c r="B19" s="131" t="inlineStr">
        <is>
          <t>%</t>
        </is>
      </c>
      <c r="G19" s="246">
        <f>(Historicals!F6-Historicals!F12)/Historicals!F6</f>
        <v/>
      </c>
      <c r="H19" s="246">
        <f>(Historicals!G6-Historicals!G12)/Historicals!G6</f>
        <v/>
      </c>
      <c r="I19" s="246">
        <f>(Historicals!H6-Historicals!H12)/Historicals!H6</f>
        <v/>
      </c>
      <c r="J19" s="246">
        <f>(Historicals!I6-Historicals!I12)/Historicals!I6</f>
        <v/>
      </c>
      <c r="K19" s="246">
        <f>(Historicals!J6-Historicals!J12)/Historicals!J6</f>
        <v/>
      </c>
      <c r="L19" s="246">
        <f>(Historicals!K6-Historicals!K12)/Historicals!K6</f>
        <v/>
      </c>
      <c r="M19" s="246">
        <f>1-Forecast!D6</f>
        <v/>
      </c>
      <c r="N19" s="246">
        <f>1-Forecast!E6</f>
        <v/>
      </c>
      <c r="O19" s="246">
        <f>1-Forecast!F6</f>
        <v/>
      </c>
      <c r="P19" s="246">
        <f>1-Forecast!G6</f>
        <v/>
      </c>
      <c r="Q19" s="246">
        <f>1-Forecast!H6</f>
        <v/>
      </c>
      <c r="R19" s="246">
        <f>1-Forecast!I6</f>
        <v/>
      </c>
    </row>
    <row r="20" ht="15" customFormat="1" customHeight="1" s="2" thickBot="1">
      <c r="A20" s="57" t="inlineStr">
        <is>
          <t>SG&amp;A (total other opex) % rev</t>
        </is>
      </c>
      <c r="B20" s="131" t="inlineStr">
        <is>
          <t>%</t>
        </is>
      </c>
      <c r="G20" s="246">
        <f>Historicals!F15/Historicals!F6</f>
        <v/>
      </c>
      <c r="H20" s="246">
        <f>Historicals!G15/Historicals!G6</f>
        <v/>
      </c>
      <c r="I20" s="246">
        <f>Historicals!H15/Historicals!H6</f>
        <v/>
      </c>
      <c r="J20" s="246">
        <f>Historicals!I15/Historicals!I6</f>
        <v/>
      </c>
      <c r="K20" s="246">
        <f>Historicals!J15/Historicals!J6</f>
        <v/>
      </c>
      <c r="L20" s="246">
        <f>Historicals!K15/Historicals!K6</f>
        <v/>
      </c>
      <c r="M20" s="246">
        <f>Forecast!D9</f>
        <v/>
      </c>
      <c r="N20" s="246">
        <f>Forecast!E9</f>
        <v/>
      </c>
      <c r="O20" s="246">
        <f>Forecast!F9</f>
        <v/>
      </c>
      <c r="P20" s="246">
        <f>Forecast!G9</f>
        <v/>
      </c>
      <c r="Q20" s="246">
        <f>Forecast!H9</f>
        <v/>
      </c>
      <c r="R20" s="246">
        <f>Forecast!I9</f>
        <v/>
      </c>
    </row>
    <row r="21" ht="13.8" customFormat="1" customHeight="1" s="2">
      <c r="A21" s="12" t="inlineStr">
        <is>
          <t>EBITDA margin %</t>
        </is>
      </c>
      <c r="B21" s="134" t="inlineStr">
        <is>
          <t>%</t>
        </is>
      </c>
      <c r="C21" s="54" t="n"/>
      <c r="D21" s="54" t="n"/>
      <c r="E21" s="54" t="n"/>
      <c r="F21" s="54" t="n"/>
      <c r="G21" s="245">
        <f>(Historicals!F6-Historicals!F12-Historicals!F15)/Historicals!F6</f>
        <v/>
      </c>
      <c r="H21" s="245">
        <f>(Historicals!G6-Historicals!G12-Historicals!G15)/Historicals!G6</f>
        <v/>
      </c>
      <c r="I21" s="245">
        <f>(Historicals!H6-Historicals!H12-Historicals!H15)/Historicals!H6</f>
        <v/>
      </c>
      <c r="J21" s="245">
        <f>(Historicals!I6-Historicals!I12-Historicals!I15)/Historicals!I6</f>
        <v/>
      </c>
      <c r="K21" s="245">
        <f>(Historicals!J6-Historicals!J12-Historicals!J15)/Historicals!J6</f>
        <v/>
      </c>
      <c r="L21" s="245">
        <f>(Historicals!K6-Historicals!K12-Historicals!K15)/Historicals!K6</f>
        <v/>
      </c>
      <c r="M21" s="243">
        <f>Forecast!D52</f>
        <v/>
      </c>
      <c r="N21" s="243">
        <f>Forecast!E52</f>
        <v/>
      </c>
      <c r="O21" s="243">
        <f>Forecast!F52</f>
        <v/>
      </c>
      <c r="P21" s="243">
        <f>Forecast!G52</f>
        <v/>
      </c>
      <c r="Q21" s="243">
        <f>Forecast!H52</f>
        <v/>
      </c>
      <c r="R21" s="243">
        <f>Forecast!I52</f>
        <v/>
      </c>
    </row>
    <row r="22" ht="13.8" customFormat="1" customHeight="1" s="2">
      <c r="A22" s="11" t="inlineStr">
        <is>
          <t>EBIT margin %</t>
        </is>
      </c>
      <c r="B22" s="134" t="inlineStr">
        <is>
          <t>%</t>
        </is>
      </c>
      <c r="C22" s="52" t="n"/>
      <c r="D22" s="211" t="n"/>
      <c r="E22" s="211" t="n"/>
      <c r="F22" s="211" t="n"/>
      <c r="G22" s="211">
        <f>(Historicals!F22+Historicals!F16-Historicals!F21)/Historicals!F6</f>
        <v/>
      </c>
      <c r="H22" s="211">
        <f>(Historicals!G22+Historicals!G16-Historicals!G21)/Historicals!G6</f>
        <v/>
      </c>
      <c r="I22" s="211">
        <f>(Historicals!H22+Historicals!H16-Historicals!H21)/Historicals!H6</f>
        <v/>
      </c>
      <c r="J22" s="211">
        <f>(Historicals!I22+Historicals!I16-Historicals!I21)/Historicals!I6</f>
        <v/>
      </c>
      <c r="K22" s="211">
        <f>(Historicals!J22+Historicals!J16-Historicals!J21)/Historicals!J6</f>
        <v/>
      </c>
      <c r="L22" s="211">
        <f>(Historicals!K22+Historicals!K16-Historicals!K21)/Historicals!K6</f>
        <v/>
      </c>
      <c r="M22" s="211" t="n"/>
      <c r="N22" s="211" t="n"/>
      <c r="O22" s="211" t="n"/>
      <c r="P22" s="211" t="n"/>
      <c r="Q22" s="211" t="n"/>
      <c r="R22" s="211" t="n"/>
    </row>
    <row r="23">
      <c r="A23" s="11" t="n"/>
      <c r="B23" s="134" t="n"/>
      <c r="C23" s="52" t="n"/>
      <c r="D23" s="52" t="n"/>
      <c r="E23" s="52" t="n"/>
      <c r="F23" s="52" t="n"/>
      <c r="G23" s="52" t="n"/>
      <c r="H23" s="52" t="n"/>
      <c r="I23" s="52" t="n"/>
      <c r="J23" s="52" t="n"/>
      <c r="K23" s="52" t="n"/>
      <c r="L23" s="211" t="n"/>
      <c r="M23" s="211" t="n"/>
      <c r="N23" s="211" t="n"/>
      <c r="O23" s="211" t="n"/>
      <c r="P23" s="211" t="n"/>
      <c r="Q23" s="211" t="n"/>
      <c r="R23" s="211" t="n"/>
    </row>
    <row r="24">
      <c r="A24" s="94" t="inlineStr">
        <is>
          <t>SECTION 4 — WORKING CAPITAL EFFICIENCY</t>
        </is>
      </c>
    </row>
    <row r="25">
      <c r="A25" t="inlineStr">
        <is>
          <t>DSO (receivable days)</t>
        </is>
      </c>
      <c r="B25" t="inlineStr">
        <is>
          <t>days</t>
        </is>
      </c>
      <c r="G25" s="247">
        <f>Historicals!F76/Historicals!F6*365</f>
        <v/>
      </c>
      <c r="H25" s="247">
        <f>Historicals!G76/Historicals!G6*365</f>
        <v/>
      </c>
      <c r="I25" s="247">
        <f>Historicals!H76/Historicals!H6*365</f>
        <v/>
      </c>
      <c r="J25" s="247">
        <f>Historicals!I76/Historicals!I6*365</f>
        <v/>
      </c>
      <c r="K25" s="247">
        <f>Historicals!J76/Historicals!J6*365</f>
        <v/>
      </c>
      <c r="L25" s="247">
        <f>Historicals!K76/Historicals!K6*365</f>
        <v/>
      </c>
      <c r="M25" s="247">
        <f>Forecast!D18</f>
        <v/>
      </c>
      <c r="N25" s="247">
        <f>Forecast!E18</f>
        <v/>
      </c>
      <c r="O25" s="247">
        <f>Forecast!F18</f>
        <v/>
      </c>
      <c r="P25" s="247">
        <f>Forecast!G18</f>
        <v/>
      </c>
      <c r="Q25" s="247">
        <f>Forecast!H18</f>
        <v/>
      </c>
      <c r="R25" s="247">
        <f>Forecast!I18</f>
        <v/>
      </c>
    </row>
    <row r="26" ht="15" customHeight="1" s="191" thickBot="1">
      <c r="A26" s="57" t="inlineStr">
        <is>
          <t>Inventory days</t>
        </is>
      </c>
      <c r="B26" t="inlineStr">
        <is>
          <t>days</t>
        </is>
      </c>
      <c r="G26" s="247">
        <f>Historicals!F75/Historicals!F6*365</f>
        <v/>
      </c>
      <c r="H26" s="247">
        <f>Historicals!G75/Historicals!G6*365</f>
        <v/>
      </c>
      <c r="I26" s="247">
        <f>Historicals!H75/Historicals!H6*365</f>
        <v/>
      </c>
      <c r="J26" s="247">
        <f>Historicals!I75/Historicals!I6*365</f>
        <v/>
      </c>
      <c r="K26" s="247">
        <f>Historicals!J75/Historicals!J6*365</f>
        <v/>
      </c>
      <c r="L26" s="247">
        <f>Historicals!K75/Historicals!K6*365</f>
        <v/>
      </c>
      <c r="M26" s="247">
        <f>Forecast!D19</f>
        <v/>
      </c>
      <c r="N26" s="247">
        <f>Forecast!E19</f>
        <v/>
      </c>
      <c r="O26" s="247">
        <f>Forecast!F19</f>
        <v/>
      </c>
      <c r="P26" s="247">
        <f>Forecast!G19</f>
        <v/>
      </c>
      <c r="Q26" s="247">
        <f>Forecast!H19</f>
        <v/>
      </c>
      <c r="R26" s="247">
        <f>Forecast!I19</f>
        <v/>
      </c>
    </row>
    <row r="27">
      <c r="A27" s="11" t="inlineStr">
        <is>
          <t>DPO (payable days, on revenue)</t>
        </is>
      </c>
      <c r="B27" s="134" t="inlineStr">
        <is>
          <t>days</t>
        </is>
      </c>
      <c r="C27" s="52" t="n"/>
      <c r="D27" s="52" t="n"/>
      <c r="E27" s="52" t="n"/>
      <c r="F27" s="52" t="n"/>
      <c r="G27" s="248">
        <f>Historicals!F56/Historicals!F6*365</f>
        <v/>
      </c>
      <c r="H27" s="248">
        <f>Historicals!G56/Historicals!G6*365</f>
        <v/>
      </c>
      <c r="I27" s="248">
        <f>Historicals!H56/Historicals!H6*365</f>
        <v/>
      </c>
      <c r="J27" s="248">
        <f>Historicals!I56/Historicals!I6*365</f>
        <v/>
      </c>
      <c r="K27" s="248">
        <f>Historicals!J56/Historicals!J6*365</f>
        <v/>
      </c>
      <c r="L27" s="249">
        <f>Historicals!K56/Historicals!K6*365</f>
        <v/>
      </c>
      <c r="M27" s="249">
        <f>Forecast!D20</f>
        <v/>
      </c>
      <c r="N27" s="249">
        <f>Forecast!E20</f>
        <v/>
      </c>
      <c r="O27" s="249">
        <f>Forecast!F20</f>
        <v/>
      </c>
      <c r="P27" s="249">
        <f>Forecast!G20</f>
        <v/>
      </c>
      <c r="Q27" s="249">
        <f>Forecast!H20</f>
        <v/>
      </c>
      <c r="R27" s="249">
        <f>Forecast!I20</f>
        <v/>
      </c>
    </row>
    <row r="28">
      <c r="A28" s="11" t="inlineStr">
        <is>
          <t>Contract assets % of revenue</t>
        </is>
      </c>
      <c r="B28" s="134" t="inlineStr">
        <is>
          <t>%</t>
        </is>
      </c>
      <c r="C28" s="52" t="n"/>
      <c r="D28" s="52" t="n"/>
      <c r="E28" s="52" t="n"/>
      <c r="F28" s="52" t="n"/>
      <c r="G28" s="243">
        <f>Historicals!F79/Historicals!F6</f>
        <v/>
      </c>
      <c r="H28" s="243">
        <f>Historicals!G79/Historicals!G6</f>
        <v/>
      </c>
      <c r="I28" s="243">
        <f>Historicals!H79/Historicals!H6</f>
        <v/>
      </c>
      <c r="J28" s="243">
        <f>Historicals!I79/Historicals!I6</f>
        <v/>
      </c>
      <c r="K28" s="243">
        <f>Historicals!J79/Historicals!J6</f>
        <v/>
      </c>
      <c r="L28" s="212">
        <f>Historicals!K79/Historicals!K6</f>
        <v/>
      </c>
      <c r="M28" s="212" t="n"/>
      <c r="N28" s="212" t="n"/>
      <c r="O28" s="212" t="n"/>
      <c r="P28" s="212" t="n"/>
      <c r="Q28" s="212" t="n"/>
      <c r="R28" s="212" t="n"/>
    </row>
    <row r="29">
      <c r="A29" s="11" t="inlineStr">
        <is>
          <t>Contract liab + other CL % of revenue</t>
        </is>
      </c>
      <c r="B29" s="134" t="inlineStr">
        <is>
          <t>%</t>
        </is>
      </c>
      <c r="C29" s="52" t="n"/>
      <c r="D29" s="52" t="n"/>
      <c r="E29" s="52" t="n"/>
      <c r="F29" s="52" t="n"/>
      <c r="G29" s="243">
        <f>Historicals!F57/Historicals!F6</f>
        <v/>
      </c>
      <c r="H29" s="243">
        <f>Historicals!G57/Historicals!G6</f>
        <v/>
      </c>
      <c r="I29" s="243">
        <f>Historicals!H57/Historicals!H6</f>
        <v/>
      </c>
      <c r="J29" s="243">
        <f>Historicals!I57/Historicals!I6</f>
        <v/>
      </c>
      <c r="K29" s="243">
        <f>Historicals!J57/Historicals!J6</f>
        <v/>
      </c>
      <c r="L29" s="212">
        <f>Historicals!K57/Historicals!K6</f>
        <v/>
      </c>
      <c r="M29" s="212" t="n"/>
      <c r="N29" s="212" t="n"/>
      <c r="O29" s="212" t="n"/>
      <c r="P29" s="212" t="n"/>
      <c r="Q29" s="212" t="n"/>
      <c r="R29" s="212" t="n"/>
    </row>
    <row r="30">
      <c r="A30" s="11" t="n"/>
      <c r="B30" s="134" t="n"/>
      <c r="C30" s="211" t="n"/>
      <c r="D30" s="211" t="n"/>
      <c r="E30" s="212" t="n"/>
      <c r="F30" s="211" t="n"/>
      <c r="G30" s="211" t="n"/>
      <c r="H30" s="212" t="n"/>
      <c r="I30" s="212" t="n"/>
      <c r="J30" s="212" t="n"/>
      <c r="K30" s="212" t="n"/>
      <c r="L30" s="212" t="n"/>
      <c r="M30" s="212" t="n"/>
      <c r="N30" s="212" t="n"/>
      <c r="O30" s="212" t="n"/>
      <c r="P30" s="212" t="n"/>
      <c r="Q30" s="212" t="n"/>
      <c r="R30" s="212" t="n"/>
    </row>
    <row r="31">
      <c r="A31" s="244" t="inlineStr">
        <is>
          <t>SECTION 5 — CAPITAL, RETURNS &amp; TAX</t>
        </is>
      </c>
      <c r="B31" s="134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  <c r="L31" s="212" t="n"/>
      <c r="M31" s="212" t="n"/>
      <c r="N31" s="212" t="n"/>
      <c r="O31" s="212" t="n"/>
      <c r="P31" s="212" t="n"/>
      <c r="Q31" s="212" t="n"/>
      <c r="R31" s="212" t="n"/>
    </row>
    <row r="32">
      <c r="A32" s="11" t="inlineStr">
        <is>
          <t>Net debt / (net cash)</t>
        </is>
      </c>
      <c r="B32" s="134" t="inlineStr">
        <is>
          <t>INR Cr</t>
        </is>
      </c>
      <c r="C32" s="52" t="n"/>
      <c r="D32" s="52" t="n"/>
      <c r="E32" s="52" t="n"/>
      <c r="F32" s="52" t="n"/>
      <c r="G32" s="60">
        <f>Historicals!F49+Historicals!F55-Historicals!F77</f>
        <v/>
      </c>
      <c r="H32" s="60">
        <f>Historicals!G49+Historicals!G55-Historicals!G77</f>
        <v/>
      </c>
      <c r="I32" s="60">
        <f>Historicals!H49+Historicals!H55-Historicals!H77</f>
        <v/>
      </c>
      <c r="J32" s="60">
        <f>Historicals!I49+Historicals!I55-Historicals!I77</f>
        <v/>
      </c>
      <c r="K32" s="60">
        <f>Historicals!J49+Historicals!J55-Historicals!J77</f>
        <v/>
      </c>
      <c r="L32" s="128">
        <f>Historicals!K49+Historicals!K55-Historicals!K77</f>
        <v/>
      </c>
      <c r="M32" s="212" t="n"/>
      <c r="N32" s="212" t="n"/>
      <c r="O32" s="212" t="n"/>
      <c r="P32" s="212" t="n"/>
      <c r="Q32" s="212" t="n"/>
      <c r="R32" s="212" t="n"/>
    </row>
    <row r="33">
      <c r="A33" s="11" t="inlineStr">
        <is>
          <t>Effective tax rate</t>
        </is>
      </c>
      <c r="B33" s="134" t="inlineStr">
        <is>
          <t>%</t>
        </is>
      </c>
      <c r="C33" s="52" t="n"/>
      <c r="D33" s="52" t="n"/>
      <c r="E33" s="52" t="n"/>
      <c r="F33" s="212" t="n"/>
      <c r="G33" s="243">
        <f>Historicals!F26/Historicals!F22</f>
        <v/>
      </c>
      <c r="H33" s="212">
        <f>Historicals!G26/Historicals!G22</f>
        <v/>
      </c>
      <c r="I33" s="212">
        <f>Historicals!H26/Historicals!H22</f>
        <v/>
      </c>
      <c r="J33" s="212">
        <f>Historicals!I26/Historicals!I22</f>
        <v/>
      </c>
      <c r="K33" s="212">
        <f>Historicals!J26/Historicals!J22</f>
        <v/>
      </c>
      <c r="L33" s="211">
        <f>Historicals!K26/Historicals!K22</f>
        <v/>
      </c>
      <c r="M33" s="211">
        <f>Forecast!D14</f>
        <v/>
      </c>
      <c r="N33" s="211">
        <f>Forecast!E14</f>
        <v/>
      </c>
      <c r="O33" s="211">
        <f>Forecast!F14</f>
        <v/>
      </c>
      <c r="P33" s="211">
        <f>Forecast!G14</f>
        <v/>
      </c>
      <c r="Q33" s="211">
        <f>Forecast!H14</f>
        <v/>
      </c>
      <c r="R33" s="211">
        <f>Forecast!I14</f>
        <v/>
      </c>
    </row>
    <row r="34">
      <c r="A34" s="11" t="inlineStr">
        <is>
          <t>ROE (PAT / avg equity)</t>
        </is>
      </c>
      <c r="B34" s="134" t="inlineStr">
        <is>
          <t>%</t>
        </is>
      </c>
      <c r="C34" s="52" t="n"/>
      <c r="D34" s="52" t="n"/>
      <c r="E34" s="52" t="n"/>
      <c r="F34" s="52" t="n"/>
      <c r="G34" s="52" t="n"/>
      <c r="H34" s="243">
        <f>Historicals!G30/AVERAGE(Historicals!F46,Historicals!G46)</f>
        <v/>
      </c>
      <c r="I34" s="243">
        <f>Historicals!H30/AVERAGE(Historicals!G46,Historicals!H46)</f>
        <v/>
      </c>
      <c r="J34" s="243">
        <f>Historicals!I30/AVERAGE(Historicals!H46,Historicals!I46)</f>
        <v/>
      </c>
      <c r="K34" s="243">
        <f>Historicals!J30/AVERAGE(Historicals!I46,Historicals!J46)</f>
        <v/>
      </c>
      <c r="L34" s="212">
        <f>Historicals!K30/AVERAGE(Historicals!J46,Historicals!K46)</f>
        <v/>
      </c>
      <c r="M34" s="212" t="n"/>
      <c r="N34" s="212" t="n"/>
      <c r="O34" s="212" t="n"/>
      <c r="P34" s="212" t="n"/>
      <c r="Q34" s="212" t="n"/>
      <c r="R34" s="212" t="n"/>
    </row>
    <row r="35">
      <c r="A35" s="11" t="inlineStr">
        <is>
          <t>Capex % of revenue</t>
        </is>
      </c>
      <c r="B35" s="134" t="inlineStr">
        <is>
          <t>%</t>
        </is>
      </c>
      <c r="C35" s="211" t="n"/>
      <c r="D35" s="211" t="n"/>
      <c r="E35" s="211" t="n"/>
      <c r="F35" s="211" t="n"/>
      <c r="G35" s="211" t="n"/>
      <c r="H35" s="211" t="n"/>
      <c r="I35" s="211" t="n"/>
      <c r="J35" s="211" t="n"/>
      <c r="K35" s="211" t="n"/>
      <c r="L35" s="212" t="n"/>
      <c r="M35" s="212">
        <f>Forecast!D13</f>
        <v/>
      </c>
      <c r="N35" s="212">
        <f>Forecast!E13</f>
        <v/>
      </c>
      <c r="O35" s="212">
        <f>Forecast!F13</f>
        <v/>
      </c>
      <c r="P35" s="212">
        <f>Forecast!G13</f>
        <v/>
      </c>
      <c r="Q35" s="212">
        <f>Forecast!H13</f>
        <v/>
      </c>
      <c r="R35" s="212">
        <f>Forecast!I13</f>
        <v/>
      </c>
    </row>
    <row r="36">
      <c r="A36" s="244" t="inlineStr">
        <is>
          <t>SECTION 6 — ORDER BOOK ($mn): FY24 backlog 470 | FY25 504 | FY26 792 | FY26 bookings 1,003; avg tenure ~12-18 months</t>
        </is>
      </c>
      <c r="B36" s="134" t="n"/>
      <c r="C36" s="52" t="n"/>
      <c r="D36" s="52" t="n"/>
      <c r="E36" s="52" t="n"/>
      <c r="F36" s="52" t="n"/>
      <c r="G36" s="52" t="n"/>
      <c r="H36" s="52" t="n"/>
      <c r="I36" s="52" t="n"/>
      <c r="J36" s="52" t="n"/>
      <c r="K36" s="52" t="n"/>
      <c r="L36" s="212" t="n"/>
      <c r="M36" s="212" t="n"/>
      <c r="N36" s="212" t="n"/>
      <c r="O36" s="212" t="n"/>
      <c r="P36" s="212" t="n"/>
      <c r="Q36" s="212" t="n"/>
      <c r="R36" s="212" t="n"/>
    </row>
    <row r="38">
      <c r="A38" s="94" t="inlineStr">
        <is>
          <t>SECTION 7 — CONTRACT ACCOUNTING (Ind-AS 115) - INR cr</t>
        </is>
      </c>
    </row>
    <row r="39">
      <c r="A39" t="inlineStr">
        <is>
          <t>Contract Assets (unbilled revenue)</t>
        </is>
      </c>
      <c r="G39" s="262" t="n">
        <v>0</v>
      </c>
      <c r="H39" s="262" t="n">
        <v>44</v>
      </c>
      <c r="I39" s="262" t="n">
        <v>114</v>
      </c>
      <c r="J39" s="262" t="n">
        <v>246</v>
      </c>
      <c r="K39" s="262" t="n">
        <v>219</v>
      </c>
      <c r="L39" s="262" t="n">
        <v>280</v>
      </c>
      <c r="M39" t="inlineStr">
        <is>
          <t>scaled w/ revenue in Forecast (other CA)</t>
        </is>
      </c>
    </row>
    <row r="40">
      <c r="A40" t="inlineStr">
        <is>
          <t>Contract Liabilities (deferred revenue/advances)</t>
        </is>
      </c>
      <c r="G40" s="262" t="n">
        <v>0</v>
      </c>
      <c r="H40" s="262" t="n">
        <v>523</v>
      </c>
      <c r="I40" s="262" t="n">
        <v>560</v>
      </c>
      <c r="J40" s="262" t="n">
        <v>555</v>
      </c>
      <c r="K40" s="262" t="n">
        <v>500</v>
      </c>
      <c r="L40" s="262" t="n">
        <v>576</v>
      </c>
      <c r="M40" t="inlineStr">
        <is>
          <t>scaled w/ revenue in Forecast (other CL)</t>
        </is>
      </c>
    </row>
  </sheetData>
  <mergeCells count="1">
    <mergeCell ref="A1:R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2"/>
  <sheetViews>
    <sheetView showGridLines="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2" sqref="A2"/>
    </sheetView>
  </sheetViews>
  <sheetFormatPr baseColWidth="8" defaultColWidth="11.109375" defaultRowHeight="14.4"/>
  <cols>
    <col width="52.33203125" bestFit="1" customWidth="1" style="191" min="1" max="1"/>
    <col width="6.109375" customWidth="1" style="191" min="2" max="2"/>
    <col width="12.109375" customWidth="1" style="2" min="3" max="3"/>
    <col width="12.21875" bestFit="1" customWidth="1" style="2" min="4" max="9"/>
  </cols>
  <sheetData>
    <row r="1" ht="18" customHeight="1" s="191">
      <c r="A1" s="192" t="inlineStr">
        <is>
          <t>BLACK BOX LTD - 3 STATEMENT FORECAST (CONSOLIDATED)</t>
        </is>
      </c>
    </row>
    <row r="3" ht="15" customHeight="1" s="191" thickBot="1">
      <c r="A3" s="57" t="inlineStr">
        <is>
          <t>A. KEY FORECAST ASSUMPTIONS (FY27E-FY32E)</t>
        </is>
      </c>
      <c r="B3" s="3" t="n"/>
      <c r="C3" s="77" t="inlineStr">
        <is>
          <t>FY 26 A</t>
        </is>
      </c>
      <c r="D3" s="3" t="inlineStr">
        <is>
          <t>FY 27 E</t>
        </is>
      </c>
      <c r="E3" s="3" t="inlineStr">
        <is>
          <t>FY 28 E</t>
        </is>
      </c>
      <c r="F3" s="3" t="inlineStr">
        <is>
          <t>FY 29 E</t>
        </is>
      </c>
      <c r="G3" s="3" t="inlineStr">
        <is>
          <t>FY 30 E</t>
        </is>
      </c>
      <c r="H3" s="3" t="inlineStr">
        <is>
          <t>FY 31 E</t>
        </is>
      </c>
      <c r="I3" s="3" t="inlineStr">
        <is>
          <t>FY 32 E</t>
        </is>
      </c>
    </row>
    <row r="4">
      <c r="A4" s="11" t="inlineStr">
        <is>
          <t>Organic revenue growth %</t>
        </is>
      </c>
      <c r="B4" s="59" t="inlineStr">
        <is>
          <t>%</t>
        </is>
      </c>
      <c r="C4" s="59" t="n"/>
      <c r="D4" s="213" t="n">
        <v>0.13</v>
      </c>
      <c r="E4" s="213" t="n">
        <v>0.13</v>
      </c>
      <c r="F4" s="213" t="n">
        <v>0.12</v>
      </c>
      <c r="G4" s="213" t="n">
        <v>0.11</v>
      </c>
      <c r="H4" s="213" t="n">
        <v>0.1</v>
      </c>
      <c r="I4" s="213" t="n">
        <v>0.09</v>
      </c>
    </row>
    <row r="5">
      <c r="A5" s="11" t="inlineStr">
        <is>
          <t>Inorganic (acquired) revenue added (INR cr)</t>
        </is>
      </c>
      <c r="B5" s="59" t="inlineStr">
        <is>
          <t>%</t>
        </is>
      </c>
      <c r="C5" s="59" t="n"/>
      <c r="D5" s="63" t="n">
        <v>500</v>
      </c>
      <c r="E5" s="63" t="n">
        <v>400</v>
      </c>
      <c r="F5" s="63" t="n">
        <v>400</v>
      </c>
      <c r="G5" s="63" t="n">
        <v>300</v>
      </c>
      <c r="H5" s="63" t="n">
        <v>300</v>
      </c>
      <c r="I5" s="63" t="n">
        <v>200</v>
      </c>
    </row>
    <row r="6">
      <c r="A6" s="11" t="inlineStr">
        <is>
          <t>Cost of revenue % of revenue</t>
        </is>
      </c>
      <c r="B6" s="59" t="inlineStr">
        <is>
          <t>%</t>
        </is>
      </c>
      <c r="C6" s="59" t="n"/>
      <c r="D6" s="213" t="n">
        <v>0.695</v>
      </c>
      <c r="E6" s="213" t="n">
        <v>0.694</v>
      </c>
      <c r="F6" s="213" t="n">
        <v>0.6929999999999999</v>
      </c>
      <c r="G6" s="213" t="n">
        <v>0.6919999999999999</v>
      </c>
      <c r="H6" s="213" t="n">
        <v>0.6919999999999999</v>
      </c>
      <c r="I6" s="213" t="n">
        <v>0.6909999999999999</v>
      </c>
    </row>
    <row r="7">
      <c r="A7" s="11" t="inlineStr">
        <is>
          <t>Purchases % of revenue (n/a - folded)</t>
        </is>
      </c>
      <c r="B7" s="59" t="inlineStr">
        <is>
          <t>%</t>
        </is>
      </c>
      <c r="C7" s="59" t="n"/>
      <c r="D7" s="213" t="n">
        <v>0</v>
      </c>
      <c r="E7" s="213" t="n">
        <v>0</v>
      </c>
      <c r="F7" s="213" t="n">
        <v>0</v>
      </c>
      <c r="G7" s="213" t="n">
        <v>0</v>
      </c>
      <c r="H7" s="213" t="n">
        <v>0</v>
      </c>
      <c r="I7" s="213" t="n">
        <v>0</v>
      </c>
    </row>
    <row r="8">
      <c r="A8" s="11" t="inlineStr">
        <is>
          <t>Changes in inventories % (n/a)</t>
        </is>
      </c>
      <c r="B8" s="59" t="inlineStr">
        <is>
          <t>%</t>
        </is>
      </c>
      <c r="C8" s="59" t="n"/>
      <c r="D8" s="213" t="n">
        <v>0</v>
      </c>
      <c r="E8" s="213" t="n">
        <v>0</v>
      </c>
      <c r="F8" s="213" t="n">
        <v>0</v>
      </c>
      <c r="G8" s="213" t="n">
        <v>0</v>
      </c>
      <c r="H8" s="213" t="n">
        <v>0</v>
      </c>
      <c r="I8" s="213" t="n">
        <v>0</v>
      </c>
    </row>
    <row r="9">
      <c r="A9" s="11" t="inlineStr">
        <is>
          <t>Total operating expenses (SG&amp;A) % of revenue</t>
        </is>
      </c>
      <c r="B9" s="59" t="inlineStr">
        <is>
          <t>%</t>
        </is>
      </c>
      <c r="C9" s="59" t="n"/>
      <c r="D9" s="213" t="n">
        <v>0.212</v>
      </c>
      <c r="E9" s="213" t="n">
        <v>0.21</v>
      </c>
      <c r="F9" s="213" t="n">
        <v>0.208</v>
      </c>
      <c r="G9" s="213" t="n">
        <v>0.207</v>
      </c>
      <c r="H9" s="213" t="n">
        <v>0.205</v>
      </c>
      <c r="I9" s="213" t="n">
        <v>0.205</v>
      </c>
    </row>
    <row r="10">
      <c r="A10" s="11" t="inlineStr">
        <is>
          <t>Other expenses % (n/a - folded)</t>
        </is>
      </c>
      <c r="B10" s="10" t="inlineStr">
        <is>
          <t>%</t>
        </is>
      </c>
      <c r="C10" s="59" t="n"/>
      <c r="D10" s="213" t="n">
        <v>0</v>
      </c>
      <c r="E10" s="213" t="n">
        <v>0</v>
      </c>
      <c r="F10" s="213" t="n">
        <v>0</v>
      </c>
      <c r="G10" s="213" t="n">
        <v>0</v>
      </c>
      <c r="H10" s="213" t="n">
        <v>0</v>
      </c>
      <c r="I10" s="213" t="n">
        <v>0</v>
      </c>
    </row>
    <row r="11">
      <c r="A11" s="11" t="inlineStr">
        <is>
          <t>Effective finance cost on borrowings (incl. lease interest &amp; normalised FX)</t>
        </is>
      </c>
      <c r="B11" s="10" t="inlineStr">
        <is>
          <t>%</t>
        </is>
      </c>
      <c r="C11" s="59" t="n"/>
      <c r="D11" s="213" t="n">
        <v>0.155</v>
      </c>
      <c r="E11" s="213">
        <f>D11</f>
        <v/>
      </c>
      <c r="F11" s="213">
        <f>E11</f>
        <v/>
      </c>
      <c r="G11" s="213">
        <f>F11</f>
        <v/>
      </c>
      <c r="H11" s="213">
        <f>G11</f>
        <v/>
      </c>
      <c r="I11" s="213">
        <f>H11</f>
        <v/>
      </c>
    </row>
    <row r="12">
      <c r="A12" s="11" t="inlineStr">
        <is>
          <t>Depreciation % of prior fixed assets</t>
        </is>
      </c>
      <c r="B12" s="10" t="inlineStr">
        <is>
          <t>%</t>
        </is>
      </c>
      <c r="C12" s="59" t="n"/>
      <c r="D12" s="213" t="n">
        <v>0.125</v>
      </c>
      <c r="E12" s="213" t="n">
        <v>0.125</v>
      </c>
      <c r="F12" s="213" t="n">
        <v>0.125</v>
      </c>
      <c r="G12" s="213" t="n">
        <v>0.125</v>
      </c>
      <c r="H12" s="213" t="n">
        <v>0.125</v>
      </c>
      <c r="I12" s="213" t="n">
        <v>0.125</v>
      </c>
    </row>
    <row r="13">
      <c r="A13" s="11" t="inlineStr">
        <is>
          <t>Capex incl. ROU/lease &amp; intangible additions (pure cash capex ~0.7-1.0%)</t>
        </is>
      </c>
      <c r="B13" s="10" t="inlineStr">
        <is>
          <t>%</t>
        </is>
      </c>
      <c r="C13" s="213">
        <f>C108/C33</f>
        <v/>
      </c>
      <c r="D13" s="213" t="n">
        <v>0.013</v>
      </c>
      <c r="E13" s="213" t="n">
        <v>0.012</v>
      </c>
      <c r="F13" s="213" t="n">
        <v>0.012</v>
      </c>
      <c r="G13" s="213" t="n">
        <v>0.011</v>
      </c>
      <c r="H13" s="213" t="n">
        <v>0.011</v>
      </c>
      <c r="I13" s="213" t="n">
        <v>0.011</v>
      </c>
    </row>
    <row r="14">
      <c r="A14" s="11" t="inlineStr">
        <is>
          <t>Effective tax rate (NOL depletion -&gt; statutory ~25%)</t>
        </is>
      </c>
      <c r="B14" s="10" t="inlineStr">
        <is>
          <t>%</t>
        </is>
      </c>
      <c r="C14" s="59" t="n"/>
      <c r="D14" s="213" t="n">
        <v>0.12</v>
      </c>
      <c r="E14" s="213" t="n">
        <v>0.15</v>
      </c>
      <c r="F14" s="213" t="n">
        <v>0.18</v>
      </c>
      <c r="G14" s="213" t="n">
        <v>0.21</v>
      </c>
      <c r="H14" s="213" t="n">
        <v>0.24</v>
      </c>
      <c r="I14" s="213" t="n">
        <v>0.25</v>
      </c>
    </row>
    <row r="15">
      <c r="A15" s="11" t="inlineStr">
        <is>
          <t>Dividend payout (% PAT)</t>
        </is>
      </c>
      <c r="B15" s="10" t="inlineStr">
        <is>
          <t>%</t>
        </is>
      </c>
      <c r="C15" s="59" t="n"/>
      <c r="D15" s="213" t="n">
        <v>0.05</v>
      </c>
      <c r="E15" s="213" t="n">
        <v>0.05</v>
      </c>
      <c r="F15" s="213" t="n">
        <v>0.05</v>
      </c>
      <c r="G15" s="213" t="n">
        <v>0.05</v>
      </c>
      <c r="H15" s="213" t="n">
        <v>0.05</v>
      </c>
      <c r="I15" s="213" t="n">
        <v>0.05</v>
      </c>
    </row>
    <row r="16">
      <c r="A16" s="11" t="inlineStr">
        <is>
          <t>Non-current financial assets growth %</t>
        </is>
      </c>
      <c r="B16" s="10" t="inlineStr">
        <is>
          <t>%</t>
        </is>
      </c>
      <c r="C16" s="59" t="n"/>
      <c r="D16" s="213" t="n">
        <v>0.08</v>
      </c>
      <c r="E16" s="213" t="n">
        <v>0.08</v>
      </c>
      <c r="F16" s="213" t="n">
        <v>0.08</v>
      </c>
      <c r="G16" s="213" t="n">
        <v>0.08</v>
      </c>
      <c r="H16" s="213" t="n">
        <v>0.08</v>
      </c>
      <c r="I16" s="213" t="n">
        <v>0.08</v>
      </c>
    </row>
    <row r="17">
      <c r="A17" s="11" t="inlineStr">
        <is>
          <t>Borrowings growth %</t>
        </is>
      </c>
      <c r="B17" s="10" t="inlineStr">
        <is>
          <t>%</t>
        </is>
      </c>
      <c r="C17" s="59" t="n"/>
      <c r="D17" s="213" t="n">
        <v>0.08</v>
      </c>
      <c r="E17" s="213" t="n">
        <v>0.07000000000000001</v>
      </c>
      <c r="F17" s="213" t="n">
        <v>0.06</v>
      </c>
      <c r="G17" s="213" t="n">
        <v>0.05</v>
      </c>
      <c r="H17" s="213" t="n">
        <v>0.05</v>
      </c>
      <c r="I17" s="213" t="n">
        <v>0.05</v>
      </c>
    </row>
    <row r="18">
      <c r="A18" s="11" t="inlineStr">
        <is>
          <t>Receivable days (DSO)</t>
        </is>
      </c>
      <c r="B18" s="10" t="inlineStr">
        <is>
          <t>days</t>
        </is>
      </c>
      <c r="C18" s="59" t="n"/>
      <c r="D18" s="63" t="n">
        <v>62</v>
      </c>
      <c r="E18" s="63" t="n">
        <v>60</v>
      </c>
      <c r="F18" s="63" t="n">
        <v>58</v>
      </c>
      <c r="G18" s="63" t="n">
        <v>57</v>
      </c>
      <c r="H18" s="63" t="n">
        <v>56</v>
      </c>
      <c r="I18" s="63" t="n">
        <v>55</v>
      </c>
    </row>
    <row r="19">
      <c r="A19" s="11" t="inlineStr">
        <is>
          <t>Inventory days</t>
        </is>
      </c>
      <c r="B19" s="10" t="inlineStr">
        <is>
          <t>days</t>
        </is>
      </c>
      <c r="C19" s="59" t="n"/>
      <c r="D19" s="63" t="n">
        <v>19</v>
      </c>
      <c r="E19" s="63" t="n">
        <v>19</v>
      </c>
      <c r="F19" s="63" t="n">
        <v>19</v>
      </c>
      <c r="G19" s="63" t="n">
        <v>19</v>
      </c>
      <c r="H19" s="63" t="n">
        <v>19</v>
      </c>
      <c r="I19" s="63" t="n">
        <v>19</v>
      </c>
    </row>
    <row r="20">
      <c r="A20" s="11" t="inlineStr">
        <is>
          <t>Payable days (DPO, on revenue)</t>
        </is>
      </c>
      <c r="B20" s="10" t="inlineStr">
        <is>
          <t>days</t>
        </is>
      </c>
      <c r="C20" s="59" t="n"/>
      <c r="D20" s="63" t="n">
        <v>46</v>
      </c>
      <c r="E20" s="63" t="n">
        <v>46</v>
      </c>
      <c r="F20" s="63" t="n">
        <v>46</v>
      </c>
      <c r="G20" s="63" t="n">
        <v>46</v>
      </c>
      <c r="H20" s="63" t="n">
        <v>46</v>
      </c>
      <c r="I20" s="63" t="n">
        <v>46</v>
      </c>
    </row>
    <row r="21">
      <c r="A21" s="11" t="inlineStr">
        <is>
          <t>Minority interest growth %</t>
        </is>
      </c>
      <c r="B21" s="10" t="inlineStr">
        <is>
          <t>%</t>
        </is>
      </c>
      <c r="C21" s="59" t="n"/>
      <c r="D21" s="213" t="n">
        <v>0</v>
      </c>
      <c r="E21" s="213" t="n">
        <v>0</v>
      </c>
      <c r="F21" s="213" t="n">
        <v>0</v>
      </c>
      <c r="G21" s="213" t="n">
        <v>0</v>
      </c>
      <c r="H21" s="213" t="n">
        <v>0</v>
      </c>
      <c r="I21" s="213" t="n">
        <v>0</v>
      </c>
    </row>
    <row r="22">
      <c r="B22" s="4" t="n"/>
    </row>
    <row r="23" ht="15" customHeight="1" s="191" thickBot="1">
      <c r="A23" s="57" t="inlineStr">
        <is>
          <t>B. OPERATING DRIVERS</t>
        </is>
      </c>
      <c r="B23" s="65" t="n"/>
      <c r="C23" s="72" t="n"/>
    </row>
    <row r="24">
      <c r="A24" s="11" t="inlineStr">
        <is>
          <t>Organic revenue (prior total x (1+organic growth))</t>
        </is>
      </c>
      <c r="B24" s="10" t="inlineStr">
        <is>
          <t>units</t>
        </is>
      </c>
      <c r="C24" s="214">
        <f>Historicals!K6</f>
        <v/>
      </c>
      <c r="D24" s="214">
        <f>C30*(1+D4)</f>
        <v/>
      </c>
      <c r="E24" s="214">
        <f>D30*(1+E4)</f>
        <v/>
      </c>
      <c r="F24" s="214">
        <f>E30*(1+F4)</f>
        <v/>
      </c>
      <c r="G24" s="214">
        <f>F30*(1+G4)</f>
        <v/>
      </c>
      <c r="H24" s="214">
        <f>G30*(1+H4)</f>
        <v/>
      </c>
      <c r="I24" s="214">
        <f>H30*(1+I4)</f>
        <v/>
      </c>
    </row>
    <row r="25">
      <c r="A25" s="64" t="inlineStr">
        <is>
          <t xml:space="preserve">  Organic growth %</t>
        </is>
      </c>
      <c r="B25" s="66" t="inlineStr">
        <is>
          <t>%</t>
        </is>
      </c>
      <c r="C25" s="215" t="n"/>
      <c r="D25" s="215">
        <f>D4</f>
        <v/>
      </c>
      <c r="E25" s="70">
        <f>E4</f>
        <v/>
      </c>
      <c r="F25" s="70">
        <f>F4</f>
        <v/>
      </c>
      <c r="G25" s="70">
        <f>G4</f>
        <v/>
      </c>
      <c r="H25" s="70">
        <f>H4</f>
        <v/>
      </c>
      <c r="I25" s="70">
        <f>I4</f>
        <v/>
      </c>
    </row>
    <row r="26">
      <c r="A26" s="11" t="inlineStr">
        <is>
          <t>Inorganic (acquired) revenue added</t>
        </is>
      </c>
      <c r="B26" s="10" t="inlineStr">
        <is>
          <t>INR</t>
        </is>
      </c>
      <c r="C26" s="216" t="n">
        <v>0</v>
      </c>
      <c r="D26" s="216">
        <f>D5</f>
        <v/>
      </c>
      <c r="E26" s="216">
        <f>E5</f>
        <v/>
      </c>
      <c r="F26" s="216">
        <f>F5</f>
        <v/>
      </c>
      <c r="G26" s="216">
        <f>G5</f>
        <v/>
      </c>
      <c r="H26" s="216">
        <f>H5</f>
        <v/>
      </c>
      <c r="I26" s="216">
        <f>I5</f>
        <v/>
      </c>
    </row>
    <row r="27">
      <c r="A27" s="64" t="inlineStr">
        <is>
          <t xml:space="preserve">  Total revenue growth %</t>
        </is>
      </c>
      <c r="B27" s="66" t="inlineStr">
        <is>
          <t>%</t>
        </is>
      </c>
      <c r="C27" s="215" t="n"/>
      <c r="D27" s="215">
        <f>D30/C30-1</f>
        <v/>
      </c>
      <c r="E27" s="215">
        <f>E30/D30-1</f>
        <v/>
      </c>
      <c r="F27" s="215">
        <f>F30/E30-1</f>
        <v/>
      </c>
      <c r="G27" s="215">
        <f>G30/F30-1</f>
        <v/>
      </c>
      <c r="H27" s="215">
        <f>H30/G30-1</f>
        <v/>
      </c>
      <c r="I27" s="215">
        <f>I30/H30-1</f>
        <v/>
      </c>
    </row>
    <row r="29" ht="15" customHeight="1" s="191" thickBot="1">
      <c r="A29" s="57" t="inlineStr">
        <is>
          <t>C. INCOME STATEMENT</t>
        </is>
      </c>
      <c r="B29" s="65" t="n"/>
      <c r="C29" s="72" t="n"/>
    </row>
    <row r="30">
      <c r="A30" s="12" t="inlineStr">
        <is>
          <t>Total Operating Revenues</t>
        </is>
      </c>
      <c r="B30" s="10" t="inlineStr">
        <is>
          <t>INR Cr</t>
        </is>
      </c>
      <c r="C30" s="217">
        <f>Historicals!K6</f>
        <v/>
      </c>
      <c r="D30" s="217">
        <f>D24+D26</f>
        <v/>
      </c>
      <c r="E30" s="217">
        <f>E24+E26</f>
        <v/>
      </c>
      <c r="F30" s="217">
        <f>F24+F26</f>
        <v/>
      </c>
      <c r="G30" s="217">
        <f>G24+G26</f>
        <v/>
      </c>
      <c r="H30" s="217">
        <f>H24+H26</f>
        <v/>
      </c>
      <c r="I30" s="217">
        <f>I24+I26</f>
        <v/>
      </c>
    </row>
    <row r="31">
      <c r="A31" s="64" t="inlineStr">
        <is>
          <t xml:space="preserve">  Revenue growth %</t>
        </is>
      </c>
      <c r="B31" s="66" t="inlineStr">
        <is>
          <t>%</t>
        </is>
      </c>
      <c r="C31" s="218">
        <f>LN(Historicals!K6/Historicals!J6)</f>
        <v/>
      </c>
      <c r="D31" s="218">
        <f>LN(D30/C30)</f>
        <v/>
      </c>
      <c r="E31" s="218">
        <f>LN(E30/D30)</f>
        <v/>
      </c>
      <c r="F31" s="218">
        <f>LN(F30/E30)</f>
        <v/>
      </c>
      <c r="G31" s="218">
        <f>LN(G30/F30)</f>
        <v/>
      </c>
      <c r="H31" s="218">
        <f>LN(H30/G30)</f>
        <v/>
      </c>
      <c r="I31" s="218">
        <f>LN(I30/H30)</f>
        <v/>
      </c>
    </row>
    <row r="32">
      <c r="A32" s="11" t="inlineStr">
        <is>
          <t>Other Income</t>
        </is>
      </c>
      <c r="B32" s="10" t="inlineStr">
        <is>
          <t>INR Cr</t>
        </is>
      </c>
      <c r="C32" s="216">
        <f>Historicals!K9</f>
        <v/>
      </c>
      <c r="D32" s="216">
        <f>C32*1.05</f>
        <v/>
      </c>
      <c r="E32" s="216">
        <f>D32*1.05</f>
        <v/>
      </c>
      <c r="F32" s="216">
        <f>E32*1.05</f>
        <v/>
      </c>
      <c r="G32" s="216">
        <f>F32*1.05</f>
        <v/>
      </c>
      <c r="H32" s="216">
        <f>G32*1.05</f>
        <v/>
      </c>
      <c r="I32" s="216">
        <f>H32*1.05</f>
        <v/>
      </c>
    </row>
    <row r="33">
      <c r="A33" s="12" t="inlineStr">
        <is>
          <t>Total Revenue</t>
        </is>
      </c>
      <c r="B33" s="10" t="inlineStr">
        <is>
          <t>INR Cr</t>
        </is>
      </c>
      <c r="C33" s="217">
        <f>C30+C32</f>
        <v/>
      </c>
      <c r="D33" s="217">
        <f>D30+D32</f>
        <v/>
      </c>
      <c r="E33" s="217">
        <f>E30+E32</f>
        <v/>
      </c>
      <c r="F33" s="217">
        <f>F30+F32</f>
        <v/>
      </c>
      <c r="G33" s="217">
        <f>G30+G32</f>
        <v/>
      </c>
      <c r="H33" s="217">
        <f>H30+H32</f>
        <v/>
      </c>
      <c r="I33" s="217">
        <f>I30+I32</f>
        <v/>
      </c>
    </row>
    <row r="34">
      <c r="A34" s="11" t="inlineStr">
        <is>
          <t>Cost of Revenue (hardware, materials &amp; subcontracting)</t>
        </is>
      </c>
      <c r="B34" s="10" t="inlineStr">
        <is>
          <t>INR Cr</t>
        </is>
      </c>
      <c r="C34" s="216">
        <f>Historicals!K12</f>
        <v/>
      </c>
      <c r="D34" s="216">
        <f>D30*D6</f>
        <v/>
      </c>
      <c r="E34" s="216">
        <f>E30*E6</f>
        <v/>
      </c>
      <c r="F34" s="216">
        <f>F30*F6</f>
        <v/>
      </c>
      <c r="G34" s="216">
        <f>G30*G6</f>
        <v/>
      </c>
      <c r="H34" s="216">
        <f>H30*H6</f>
        <v/>
      </c>
      <c r="I34" s="216">
        <f>I30*I6</f>
        <v/>
      </c>
    </row>
    <row r="35">
      <c r="A35" s="11" t="inlineStr">
        <is>
          <t>Purchase Of Stock-In-Trade</t>
        </is>
      </c>
      <c r="B35" s="10" t="inlineStr">
        <is>
          <t>INR Cr</t>
        </is>
      </c>
      <c r="C35" s="216">
        <f>Historicals!K13</f>
        <v/>
      </c>
      <c r="D35" s="216">
        <f>D33*D7</f>
        <v/>
      </c>
      <c r="E35" s="216">
        <f>E33*E7</f>
        <v/>
      </c>
      <c r="F35" s="216">
        <f>F33*F7</f>
        <v/>
      </c>
      <c r="G35" s="216">
        <f>G33*G7</f>
        <v/>
      </c>
      <c r="H35" s="216">
        <f>H33*H7</f>
        <v/>
      </c>
      <c r="I35" s="216">
        <f>I33*I7</f>
        <v/>
      </c>
    </row>
    <row r="36">
      <c r="A36" s="11" t="inlineStr">
        <is>
          <t>Changes In Inventories (FG/WIP/SIT)</t>
        </is>
      </c>
      <c r="B36" s="10" t="inlineStr">
        <is>
          <t>INR Cr</t>
        </is>
      </c>
      <c r="C36" s="216">
        <f>Historicals!K14</f>
        <v/>
      </c>
      <c r="D36" s="216">
        <f>D33*D8</f>
        <v/>
      </c>
      <c r="E36" s="216">
        <f>E33*E8</f>
        <v/>
      </c>
      <c r="F36" s="216">
        <f>F33*F8</f>
        <v/>
      </c>
      <c r="G36" s="216">
        <f>G33*G8</f>
        <v/>
      </c>
      <c r="H36" s="216">
        <f>H33*H8</f>
        <v/>
      </c>
      <c r="I36" s="216">
        <f>I33*I8</f>
        <v/>
      </c>
    </row>
    <row r="37">
      <c r="A37" s="11" t="inlineStr">
        <is>
          <t>Employee &amp; Other Operating Expenses (SG&amp;A)</t>
        </is>
      </c>
      <c r="B37" s="10" t="inlineStr">
        <is>
          <t>INR Cr</t>
        </is>
      </c>
      <c r="C37" s="216">
        <f>Historicals!K15</f>
        <v/>
      </c>
      <c r="D37" s="216">
        <f>D30*D9</f>
        <v/>
      </c>
      <c r="E37" s="216">
        <f>E30*E9</f>
        <v/>
      </c>
      <c r="F37" s="216">
        <f>F30*F9</f>
        <v/>
      </c>
      <c r="G37" s="216">
        <f>G30*G9</f>
        <v/>
      </c>
      <c r="H37" s="216">
        <f>H30*H9</f>
        <v/>
      </c>
      <c r="I37" s="216">
        <f>I30*I9</f>
        <v/>
      </c>
    </row>
    <row r="38">
      <c r="A38" s="11" t="inlineStr">
        <is>
          <t>Finance Costs</t>
        </is>
      </c>
      <c r="B38" s="10" t="inlineStr">
        <is>
          <t>INR Cr</t>
        </is>
      </c>
      <c r="C38" s="216">
        <f>Historicals!K16</f>
        <v/>
      </c>
      <c r="D38" s="216">
        <f>D11*(C59+D59+C64+D64)/2</f>
        <v/>
      </c>
      <c r="E38" s="216">
        <f>E11*(D59+E59+D64+E64)/2</f>
        <v/>
      </c>
      <c r="F38" s="216">
        <f>F11*(E59+F59+E64+F64)/2</f>
        <v/>
      </c>
      <c r="G38" s="216">
        <f>G11*(F59+G59+F64+G64)/2</f>
        <v/>
      </c>
      <c r="H38" s="216">
        <f>H11*(G59+H59+G64+H64)/2</f>
        <v/>
      </c>
      <c r="I38" s="216">
        <f>I11*(H59+I59+H64+I64)/2</f>
        <v/>
      </c>
    </row>
    <row r="39">
      <c r="A39" s="11" t="inlineStr">
        <is>
          <t>Depreciation &amp; Amortisation</t>
        </is>
      </c>
      <c r="B39" s="10" t="inlineStr">
        <is>
          <t>INR Cr</t>
        </is>
      </c>
      <c r="C39" s="216">
        <f>Historicals!K17</f>
        <v/>
      </c>
      <c r="D39" s="216">
        <f>D12*C74</f>
        <v/>
      </c>
      <c r="E39" s="216">
        <f>E12*D74</f>
        <v/>
      </c>
      <c r="F39" s="216">
        <f>F12*E74</f>
        <v/>
      </c>
      <c r="G39" s="216">
        <f>G12*F74</f>
        <v/>
      </c>
      <c r="H39" s="216">
        <f>H12*G74</f>
        <v/>
      </c>
      <c r="I39" s="216">
        <f>I12*H74</f>
        <v/>
      </c>
    </row>
    <row r="40">
      <c r="A40" s="11" t="inlineStr">
        <is>
          <t>Other Expenses</t>
        </is>
      </c>
      <c r="B40" s="10" t="inlineStr">
        <is>
          <t>INR Cr</t>
        </is>
      </c>
      <c r="C40" s="216">
        <f>Historicals!K18</f>
        <v/>
      </c>
      <c r="D40" s="216">
        <f>D33*D10</f>
        <v/>
      </c>
      <c r="E40" s="216">
        <f>E33*E10</f>
        <v/>
      </c>
      <c r="F40" s="216">
        <f>F33*F10</f>
        <v/>
      </c>
      <c r="G40" s="216">
        <f>G33*G10</f>
        <v/>
      </c>
      <c r="H40" s="216">
        <f>H33*H10</f>
        <v/>
      </c>
      <c r="I40" s="216">
        <f>I33*I10</f>
        <v/>
      </c>
    </row>
    <row r="41">
      <c r="A41" s="12" t="inlineStr">
        <is>
          <t>Total Expenses</t>
        </is>
      </c>
      <c r="B41" s="10" t="inlineStr">
        <is>
          <t>INR Cr</t>
        </is>
      </c>
      <c r="C41" s="217">
        <f>SUM(C34:C40)</f>
        <v/>
      </c>
      <c r="D41" s="217">
        <f>SUM(D34:D40)</f>
        <v/>
      </c>
      <c r="E41" s="217">
        <f>SUM(E34:E40)</f>
        <v/>
      </c>
      <c r="F41" s="217">
        <f>SUM(F34:F40)</f>
        <v/>
      </c>
      <c r="G41" s="217">
        <f>SUM(G34:G40)</f>
        <v/>
      </c>
      <c r="H41" s="217">
        <f>SUM(H34:H40)</f>
        <v/>
      </c>
      <c r="I41" s="217">
        <f>SUM(I34:I40)</f>
        <v/>
      </c>
      <c r="M41" s="219" t="n"/>
    </row>
    <row r="42">
      <c r="A42" s="11" t="inlineStr">
        <is>
          <t>PBT before exceptional</t>
        </is>
      </c>
      <c r="B42" s="10" t="inlineStr">
        <is>
          <t>INR Cr</t>
        </is>
      </c>
      <c r="C42" s="216">
        <f>C33-C41</f>
        <v/>
      </c>
      <c r="D42" s="216">
        <f>D33-D41</f>
        <v/>
      </c>
      <c r="E42" s="216">
        <f>E33-E41</f>
        <v/>
      </c>
      <c r="F42" s="216">
        <f>F33-F41</f>
        <v/>
      </c>
      <c r="G42" s="216">
        <f>G33-G41</f>
        <v/>
      </c>
      <c r="H42" s="216">
        <f>H33-H41</f>
        <v/>
      </c>
      <c r="I42" s="216">
        <f>I33-I41</f>
        <v/>
      </c>
    </row>
    <row r="43">
      <c r="A43" s="11" t="inlineStr">
        <is>
          <t>Exceptional Items (restructuring/severance - tapering)</t>
        </is>
      </c>
      <c r="B43" s="10" t="inlineStr">
        <is>
          <t>INR Cr</t>
        </is>
      </c>
      <c r="C43" s="216">
        <f>Historicals!K21</f>
        <v/>
      </c>
      <c r="D43" s="261" t="n">
        <v>90</v>
      </c>
      <c r="E43" s="261" t="n">
        <v>50</v>
      </c>
      <c r="F43" s="261" t="n">
        <v>20</v>
      </c>
      <c r="G43" s="261" t="n">
        <v>0</v>
      </c>
      <c r="H43" s="261" t="n">
        <v>0</v>
      </c>
      <c r="I43" s="261" t="n">
        <v>0</v>
      </c>
    </row>
    <row r="44">
      <c r="A44" s="12" t="inlineStr">
        <is>
          <t>Profit Before Tax</t>
        </is>
      </c>
      <c r="B44" s="10" t="inlineStr">
        <is>
          <t>INR Cr</t>
        </is>
      </c>
      <c r="C44" s="217">
        <f>C42+C43</f>
        <v/>
      </c>
      <c r="D44" s="217">
        <f>D42-D43</f>
        <v/>
      </c>
      <c r="E44" s="217">
        <f>E42-E43</f>
        <v/>
      </c>
      <c r="F44" s="217">
        <f>F42-F43</f>
        <v/>
      </c>
      <c r="G44" s="217">
        <f>G42-G43</f>
        <v/>
      </c>
      <c r="H44" s="217">
        <f>H42-H43</f>
        <v/>
      </c>
      <c r="I44" s="217">
        <f>I42-I43</f>
        <v/>
      </c>
    </row>
    <row r="45">
      <c r="A45" s="11" t="inlineStr">
        <is>
          <t>Total Tax Expense</t>
        </is>
      </c>
      <c r="B45" s="10" t="inlineStr">
        <is>
          <t>INR Cr</t>
        </is>
      </c>
      <c r="C45" s="216">
        <f>Historicals!K26</f>
        <v/>
      </c>
      <c r="D45" s="216">
        <f>D44*D14</f>
        <v/>
      </c>
      <c r="E45" s="216">
        <f>E44*E14</f>
        <v/>
      </c>
      <c r="F45" s="216">
        <f>F44*F14</f>
        <v/>
      </c>
      <c r="G45" s="216">
        <f>G44*G14</f>
        <v/>
      </c>
      <c r="H45" s="216">
        <f>H44*H14</f>
        <v/>
      </c>
      <c r="I45" s="216">
        <f>I44*I14</f>
        <v/>
      </c>
    </row>
    <row r="46">
      <c r="A46" s="12" t="inlineStr">
        <is>
          <t>PAT for the Period</t>
        </is>
      </c>
      <c r="B46" s="10" t="inlineStr">
        <is>
          <t>INR Cr</t>
        </is>
      </c>
      <c r="C46" s="217">
        <f>C44-C45</f>
        <v/>
      </c>
      <c r="D46" s="217">
        <f>D44-D45</f>
        <v/>
      </c>
      <c r="E46" s="217">
        <f>E44-E45</f>
        <v/>
      </c>
      <c r="F46" s="217">
        <f>F44-F45</f>
        <v/>
      </c>
      <c r="G46" s="217">
        <f>G44-G45</f>
        <v/>
      </c>
      <c r="H46" s="217">
        <f>H44-H45</f>
        <v/>
      </c>
      <c r="I46" s="217">
        <f>I44-I45</f>
        <v/>
      </c>
    </row>
    <row r="47">
      <c r="A47" s="12" t="inlineStr">
        <is>
          <t>Minority Interest</t>
        </is>
      </c>
      <c r="B47" s="10" t="inlineStr">
        <is>
          <t>INR Cr</t>
        </is>
      </c>
      <c r="C47" s="217">
        <f>Historicals!K47</f>
        <v/>
      </c>
      <c r="D47" s="217">
        <f>C47*(1+D21)</f>
        <v/>
      </c>
      <c r="E47" s="217">
        <f>D47*(1+E21)</f>
        <v/>
      </c>
      <c r="F47" s="217">
        <f>E47*(1+F21)</f>
        <v/>
      </c>
      <c r="G47" s="217">
        <f>F47*(1+G21)</f>
        <v/>
      </c>
      <c r="H47" s="217">
        <f>G47*(1+H21)</f>
        <v/>
      </c>
      <c r="I47" s="217">
        <f>H47*(1+I21)</f>
        <v/>
      </c>
    </row>
    <row r="48">
      <c r="A48" s="12" t="inlineStr">
        <is>
          <t>Consolidated PAT (after MI &amp; Assoc)</t>
        </is>
      </c>
      <c r="B48" s="10" t="inlineStr">
        <is>
          <t>INR Cr</t>
        </is>
      </c>
      <c r="C48" s="217">
        <f>C46+C47</f>
        <v/>
      </c>
      <c r="D48" s="217">
        <f>D46+D47</f>
        <v/>
      </c>
      <c r="E48" s="217">
        <f>E46+E47</f>
        <v/>
      </c>
      <c r="F48" s="217">
        <f>F46+F47</f>
        <v/>
      </c>
      <c r="G48" s="217">
        <f>G46+G47</f>
        <v/>
      </c>
      <c r="H48" s="217">
        <f>H46+H47</f>
        <v/>
      </c>
      <c r="I48" s="217">
        <f>I46+I47</f>
        <v/>
      </c>
    </row>
    <row r="49">
      <c r="A49" s="11" t="inlineStr">
        <is>
          <t>EPS (Rs.)</t>
        </is>
      </c>
      <c r="B49" s="10" t="inlineStr">
        <is>
          <t>INR</t>
        </is>
      </c>
      <c r="C49" s="216">
        <f>C46/DCF!$B$18</f>
        <v/>
      </c>
      <c r="D49" s="216">
        <f>D46/DCF!$B$18</f>
        <v/>
      </c>
      <c r="E49" s="216">
        <f>E46/DCF!$B$18</f>
        <v/>
      </c>
      <c r="F49" s="216">
        <f>F46/DCF!$B$18</f>
        <v/>
      </c>
      <c r="G49" s="216">
        <f>G46/DCF!$B$18</f>
        <v/>
      </c>
      <c r="H49" s="216">
        <f>H46/DCF!$B$18</f>
        <v/>
      </c>
      <c r="I49" s="216">
        <f>I46/DCF!$B$18</f>
        <v/>
      </c>
    </row>
    <row r="50">
      <c r="A50" s="11" t="inlineStr">
        <is>
          <t>Equity Dividend (total)</t>
        </is>
      </c>
      <c r="B50" s="10" t="inlineStr">
        <is>
          <t>INR Cr</t>
        </is>
      </c>
      <c r="C50" s="216">
        <f>Historicals!K36</f>
        <v/>
      </c>
      <c r="D50" s="220">
        <f>D46*D15</f>
        <v/>
      </c>
      <c r="E50" s="220">
        <f>E46*E15</f>
        <v/>
      </c>
      <c r="F50" s="220">
        <f>F46*F15</f>
        <v/>
      </c>
      <c r="G50" s="220">
        <f>G46*G15</f>
        <v/>
      </c>
      <c r="H50" s="220">
        <f>H46*H15</f>
        <v/>
      </c>
      <c r="I50" s="220">
        <f>I46*I15</f>
        <v/>
      </c>
    </row>
    <row r="51">
      <c r="A51" s="11" t="inlineStr">
        <is>
          <t>Memo: EBITDA</t>
        </is>
      </c>
      <c r="B51" s="10" t="inlineStr">
        <is>
          <t>INR Cr</t>
        </is>
      </c>
      <c r="C51" s="216">
        <f>C30-C34-C37</f>
        <v/>
      </c>
      <c r="D51" s="216">
        <f>D30-D34-D37</f>
        <v/>
      </c>
      <c r="E51" s="216">
        <f>E30-E34-E37</f>
        <v/>
      </c>
      <c r="F51" s="216">
        <f>F30-F34-F37</f>
        <v/>
      </c>
      <c r="G51" s="216">
        <f>G30-G34-G37</f>
        <v/>
      </c>
      <c r="H51" s="216">
        <f>H30-H34-H37</f>
        <v/>
      </c>
      <c r="I51" s="216">
        <f>I30-I34-I37</f>
        <v/>
      </c>
    </row>
    <row r="52">
      <c r="A52" s="11" t="inlineStr">
        <is>
          <t>Memo: EBITDA margin</t>
        </is>
      </c>
      <c r="B52" s="10" t="inlineStr">
        <is>
          <t>%</t>
        </is>
      </c>
      <c r="C52" s="75">
        <f>C51/C30</f>
        <v/>
      </c>
      <c r="D52" s="218">
        <f>D51/D30</f>
        <v/>
      </c>
      <c r="E52" s="218">
        <f>E51/E30</f>
        <v/>
      </c>
      <c r="F52" s="218">
        <f>F51/F30</f>
        <v/>
      </c>
      <c r="G52" s="218">
        <f>G51/G30</f>
        <v/>
      </c>
      <c r="H52" s="218">
        <f>H51/H30</f>
        <v/>
      </c>
      <c r="I52" s="218">
        <f>I51/I30</f>
        <v/>
      </c>
    </row>
    <row r="53">
      <c r="C53" s="216" t="n"/>
      <c r="D53" s="216" t="n"/>
      <c r="E53" s="216" t="n"/>
      <c r="F53" s="216" t="n"/>
      <c r="G53" s="216" t="n"/>
      <c r="H53" s="216" t="n"/>
      <c r="I53" s="216" t="n"/>
    </row>
    <row r="54" ht="15" customHeight="1" s="191" thickBot="1">
      <c r="A54" s="57" t="inlineStr">
        <is>
          <t>D. BALANCE SHEET</t>
        </is>
      </c>
      <c r="B54" s="65" t="n"/>
      <c r="C54" s="216" t="n"/>
      <c r="D54" s="216" t="n"/>
      <c r="E54" s="216" t="n"/>
      <c r="F54" s="216" t="n"/>
      <c r="G54" s="216" t="n"/>
      <c r="H54" s="216" t="n"/>
      <c r="I54" s="216" t="n"/>
    </row>
    <row r="55">
      <c r="A55" s="11" t="inlineStr">
        <is>
          <t>Equity Share Capital</t>
        </is>
      </c>
      <c r="B55" s="10" t="inlineStr">
        <is>
          <t>INR Cr</t>
        </is>
      </c>
      <c r="C55" s="216">
        <f>Historicals!K42</f>
        <v/>
      </c>
      <c r="D55" s="216">
        <f>C55</f>
        <v/>
      </c>
      <c r="E55" s="216">
        <f>D55</f>
        <v/>
      </c>
      <c r="F55" s="216">
        <f>E55</f>
        <v/>
      </c>
      <c r="G55" s="216">
        <f>F55</f>
        <v/>
      </c>
      <c r="H55" s="216">
        <f>G55</f>
        <v/>
      </c>
      <c r="I55" s="216">
        <f>H55</f>
        <v/>
      </c>
    </row>
    <row r="56">
      <c r="A56" s="11" t="inlineStr">
        <is>
          <t>Reserves and Surplus</t>
        </is>
      </c>
      <c r="B56" s="10" t="inlineStr">
        <is>
          <t>INR Cr</t>
        </is>
      </c>
      <c r="C56" s="216">
        <f>Historicals!K44</f>
        <v/>
      </c>
      <c r="D56" s="216">
        <f>C56+D46-D50</f>
        <v/>
      </c>
      <c r="E56" s="216">
        <f>D56+E46-E50</f>
        <v/>
      </c>
      <c r="F56" s="216">
        <f>E56+F46-F50</f>
        <v/>
      </c>
      <c r="G56" s="216">
        <f>F56+G46-G50</f>
        <v/>
      </c>
      <c r="H56" s="216">
        <f>G56+H46-H50</f>
        <v/>
      </c>
      <c r="I56" s="216">
        <f>H56+I46-I50</f>
        <v/>
      </c>
    </row>
    <row r="57">
      <c r="A57" s="12" t="inlineStr">
        <is>
          <t>Total Shareholders' Funds</t>
        </is>
      </c>
      <c r="B57" s="10" t="inlineStr">
        <is>
          <t>INR Cr</t>
        </is>
      </c>
      <c r="C57" s="217">
        <f>C56+C55</f>
        <v/>
      </c>
      <c r="D57" s="217">
        <f>D56+D55</f>
        <v/>
      </c>
      <c r="E57" s="217">
        <f>E56+E55</f>
        <v/>
      </c>
      <c r="F57" s="217">
        <f>F56+F55</f>
        <v/>
      </c>
      <c r="G57" s="217">
        <f>G56+G55</f>
        <v/>
      </c>
      <c r="H57" s="217">
        <f>H56+H55</f>
        <v/>
      </c>
      <c r="I57" s="217">
        <f>I56+I55</f>
        <v/>
      </c>
    </row>
    <row r="58">
      <c r="A58" s="11" t="inlineStr">
        <is>
          <t>Minority Interest</t>
        </is>
      </c>
      <c r="B58" s="10" t="inlineStr">
        <is>
          <t>INR Cr</t>
        </is>
      </c>
      <c r="C58" s="216">
        <f>Historicals!K47</f>
        <v/>
      </c>
      <c r="D58" s="216">
        <f>D47</f>
        <v/>
      </c>
      <c r="E58" s="216">
        <f>E47</f>
        <v/>
      </c>
      <c r="F58" s="216">
        <f>F47</f>
        <v/>
      </c>
      <c r="G58" s="216">
        <f>G47</f>
        <v/>
      </c>
      <c r="H58" s="216">
        <f>H47</f>
        <v/>
      </c>
      <c r="I58" s="216">
        <f>I47</f>
        <v/>
      </c>
    </row>
    <row r="59">
      <c r="A59" s="11" t="inlineStr">
        <is>
          <t>Long Term Borrowings</t>
        </is>
      </c>
      <c r="B59" s="10" t="inlineStr">
        <is>
          <t>INR Cr</t>
        </is>
      </c>
      <c r="C59" s="216">
        <f>Historicals!K49</f>
        <v/>
      </c>
      <c r="D59" s="216">
        <f>C59*(1+D17)</f>
        <v/>
      </c>
      <c r="E59" s="216">
        <f>D59*(1+E17)</f>
        <v/>
      </c>
      <c r="F59" s="216">
        <f>E59*(1+F17)</f>
        <v/>
      </c>
      <c r="G59" s="216">
        <f>F59*(1+G17)</f>
        <v/>
      </c>
      <c r="H59" s="216">
        <f>G59*(1+H17)</f>
        <v/>
      </c>
      <c r="I59" s="216">
        <f>H59*(1+I17)</f>
        <v/>
      </c>
    </row>
    <row r="60">
      <c r="A60" s="11" t="inlineStr">
        <is>
          <t>Deferred Tax Liabilities [Net]</t>
        </is>
      </c>
      <c r="B60" s="10" t="inlineStr">
        <is>
          <t>INR Cr</t>
        </is>
      </c>
      <c r="C60" s="216">
        <f>Historicals!K50</f>
        <v/>
      </c>
      <c r="D60" s="216">
        <f>C60</f>
        <v/>
      </c>
      <c r="E60" s="216">
        <f>D60</f>
        <v/>
      </c>
      <c r="F60" s="216">
        <f>E60</f>
        <v/>
      </c>
      <c r="G60" s="216">
        <f>F60</f>
        <v/>
      </c>
      <c r="H60" s="216">
        <f>G60</f>
        <v/>
      </c>
      <c r="I60" s="216">
        <f>H60</f>
        <v/>
      </c>
    </row>
    <row r="61">
      <c r="A61" s="11" t="inlineStr">
        <is>
          <t>Other Long Term Liabilities</t>
        </is>
      </c>
      <c r="B61" s="10" t="inlineStr">
        <is>
          <t>INR Cr</t>
        </is>
      </c>
      <c r="C61" s="216">
        <f>Historicals!K51</f>
        <v/>
      </c>
      <c r="D61" s="216">
        <f>C61*(D30/C30)</f>
        <v/>
      </c>
      <c r="E61" s="216">
        <f>D61*(E30/D30)</f>
        <v/>
      </c>
      <c r="F61" s="216">
        <f>E61*(F30/E30)</f>
        <v/>
      </c>
      <c r="G61" s="216">
        <f>F61*(G30/F30)</f>
        <v/>
      </c>
      <c r="H61" s="216">
        <f>G61*(H30/G30)</f>
        <v/>
      </c>
      <c r="I61" s="216">
        <f>H61*(I30/H30)</f>
        <v/>
      </c>
    </row>
    <row r="62">
      <c r="A62" s="11" t="inlineStr">
        <is>
          <t>Long Term Provisions</t>
        </is>
      </c>
      <c r="B62" s="10" t="inlineStr">
        <is>
          <t>INR Cr</t>
        </is>
      </c>
      <c r="C62" s="216">
        <f>Historicals!K52</f>
        <v/>
      </c>
      <c r="D62" s="216">
        <f>C62*(D30/C30)</f>
        <v/>
      </c>
      <c r="E62" s="216">
        <f>D62*(E30/D30)</f>
        <v/>
      </c>
      <c r="F62" s="216">
        <f>E62*(F30/E30)</f>
        <v/>
      </c>
      <c r="G62" s="216">
        <f>F62*(G30/F30)</f>
        <v/>
      </c>
      <c r="H62" s="216">
        <f>G62*(H30/G30)</f>
        <v/>
      </c>
      <c r="I62" s="216">
        <f>H62*(I30/H30)</f>
        <v/>
      </c>
    </row>
    <row r="63" customFormat="1" s="1">
      <c r="A63" s="12" t="inlineStr">
        <is>
          <t>Total Non-Current Liabilities</t>
        </is>
      </c>
      <c r="B63" s="10" t="inlineStr">
        <is>
          <t>INR Cr</t>
        </is>
      </c>
      <c r="C63" s="217">
        <f>SUM(C59:C62)</f>
        <v/>
      </c>
      <c r="D63" s="217">
        <f>SUM(D59:D62)</f>
        <v/>
      </c>
      <c r="E63" s="217">
        <f>SUM(E59:E62)</f>
        <v/>
      </c>
      <c r="F63" s="217">
        <f>SUM(F59:F62)</f>
        <v/>
      </c>
      <c r="G63" s="217">
        <f>SUM(G59:G62)</f>
        <v/>
      </c>
      <c r="H63" s="217">
        <f>SUM(H59:H62)</f>
        <v/>
      </c>
      <c r="I63" s="217">
        <f>SUM(I59:I62)</f>
        <v/>
      </c>
    </row>
    <row r="64">
      <c r="A64" s="11" t="inlineStr">
        <is>
          <t>Short Term Borrowings</t>
        </is>
      </c>
      <c r="B64" s="10" t="inlineStr">
        <is>
          <t>INR Cr</t>
        </is>
      </c>
      <c r="C64" s="216">
        <f>Historicals!K55</f>
        <v/>
      </c>
      <c r="D64" s="216">
        <f>C64*(1+D17)</f>
        <v/>
      </c>
      <c r="E64" s="216">
        <f>D64*(1+E17)</f>
        <v/>
      </c>
      <c r="F64" s="216">
        <f>E64*(1+F17)</f>
        <v/>
      </c>
      <c r="G64" s="216">
        <f>F64*(1+G17)</f>
        <v/>
      </c>
      <c r="H64" s="216">
        <f>G64*(1+H17)</f>
        <v/>
      </c>
      <c r="I64" s="216">
        <f>H64*(1+I17)</f>
        <v/>
      </c>
    </row>
    <row r="65">
      <c r="A65" s="11" t="inlineStr">
        <is>
          <t>Trade Payables</t>
        </is>
      </c>
      <c r="B65" s="10" t="inlineStr">
        <is>
          <t>INR Cr</t>
        </is>
      </c>
      <c r="C65" s="216">
        <f>Historicals!K56</f>
        <v/>
      </c>
      <c r="D65" s="216">
        <f>D20/365*D30</f>
        <v/>
      </c>
      <c r="E65" s="216">
        <f>E20/365*E30</f>
        <v/>
      </c>
      <c r="F65" s="216">
        <f>F20/365*F30</f>
        <v/>
      </c>
      <c r="G65" s="216">
        <f>G20/365*G30</f>
        <v/>
      </c>
      <c r="H65" s="216">
        <f>H20/365*H30</f>
        <v/>
      </c>
      <c r="I65" s="216">
        <f>I20/365*I30</f>
        <v/>
      </c>
    </row>
    <row r="66">
      <c r="A66" s="11" t="inlineStr">
        <is>
          <t>Other Current Liabilities</t>
        </is>
      </c>
      <c r="B66" s="10" t="inlineStr">
        <is>
          <t>INR Cr</t>
        </is>
      </c>
      <c r="C66" s="216">
        <f>Historicals!K57</f>
        <v/>
      </c>
      <c r="D66" s="216">
        <f>C66*D30/C30</f>
        <v/>
      </c>
      <c r="E66" s="216">
        <f>D66*E30/D30</f>
        <v/>
      </c>
      <c r="F66" s="216">
        <f>E66*F30/E30</f>
        <v/>
      </c>
      <c r="G66" s="216">
        <f>F66*G30/F30</f>
        <v/>
      </c>
      <c r="H66" s="216">
        <f>G66*H30/G30</f>
        <v/>
      </c>
      <c r="I66" s="216">
        <f>H66*I30/H30</f>
        <v/>
      </c>
    </row>
    <row r="67">
      <c r="A67" s="11" t="inlineStr">
        <is>
          <t>Short Term Provisions</t>
        </is>
      </c>
      <c r="B67" s="10" t="inlineStr">
        <is>
          <t>INR Cr</t>
        </is>
      </c>
      <c r="C67" s="216">
        <f>Historicals!K58</f>
        <v/>
      </c>
      <c r="D67" s="216">
        <f>C67*D30/C30</f>
        <v/>
      </c>
      <c r="E67" s="216">
        <f>D67*E30/D30</f>
        <v/>
      </c>
      <c r="F67" s="216">
        <f>E67*F30/E30</f>
        <v/>
      </c>
      <c r="G67" s="216">
        <f>F67*G30/F30</f>
        <v/>
      </c>
      <c r="H67" s="216">
        <f>G67*H30/G30</f>
        <v/>
      </c>
      <c r="I67" s="216">
        <f>H67*I30/H30</f>
        <v/>
      </c>
    </row>
    <row r="68" customFormat="1" s="1">
      <c r="A68" s="78" t="inlineStr">
        <is>
          <t>Total Current Liabilities</t>
        </is>
      </c>
      <c r="B68" s="79" t="inlineStr">
        <is>
          <t>INR Cr</t>
        </is>
      </c>
      <c r="C68" s="221">
        <f>SUM(C64:C67)</f>
        <v/>
      </c>
      <c r="D68" s="221">
        <f>SUM(D64:D67)</f>
        <v/>
      </c>
      <c r="E68" s="221">
        <f>SUM(E64:E67)</f>
        <v/>
      </c>
      <c r="F68" s="221">
        <f>SUM(F64:F67)</f>
        <v/>
      </c>
      <c r="G68" s="221">
        <f>SUM(G64:G67)</f>
        <v/>
      </c>
      <c r="H68" s="221">
        <f>SUM(H64:H67)</f>
        <v/>
      </c>
      <c r="I68" s="221">
        <f>SUM(I64:I67)</f>
        <v/>
      </c>
    </row>
    <row r="69" customFormat="1" s="1">
      <c r="A69" s="12" t="inlineStr">
        <is>
          <t>Total Capital &amp; Liabilities</t>
        </is>
      </c>
      <c r="B69" s="10" t="inlineStr">
        <is>
          <t>INR Cr</t>
        </is>
      </c>
      <c r="C69" s="217">
        <f>C68+C63+C57</f>
        <v/>
      </c>
      <c r="D69" s="217">
        <f>D68+D63+D57</f>
        <v/>
      </c>
      <c r="E69" s="217">
        <f>E68+E63+E57</f>
        <v/>
      </c>
      <c r="F69" s="217">
        <f>F68+F63+F57</f>
        <v/>
      </c>
      <c r="G69" s="217">
        <f>G68+G63+G57</f>
        <v/>
      </c>
      <c r="H69" s="217">
        <f>H68+H63+H57</f>
        <v/>
      </c>
      <c r="I69" s="217">
        <f>I68+I63+I57</f>
        <v/>
      </c>
    </row>
    <row r="70">
      <c r="A70" s="11" t="inlineStr">
        <is>
          <t>Tangible Assets</t>
        </is>
      </c>
      <c r="B70" s="10" t="inlineStr">
        <is>
          <t>INR Cr</t>
        </is>
      </c>
      <c r="C70" s="216">
        <f>Historicals!K63</f>
        <v/>
      </c>
      <c r="D70" s="216">
        <f>C70+D108-D39</f>
        <v/>
      </c>
      <c r="E70" s="216">
        <f>D70+E108-E39</f>
        <v/>
      </c>
      <c r="F70" s="216">
        <f>E70+F108-F39</f>
        <v/>
      </c>
      <c r="G70" s="216">
        <f>F70+G108-G39</f>
        <v/>
      </c>
      <c r="H70" s="216">
        <f>G70+H108-H39</f>
        <v/>
      </c>
      <c r="I70" s="216">
        <f>H70+I108-I39</f>
        <v/>
      </c>
    </row>
    <row r="71">
      <c r="A71" s="11" t="inlineStr">
        <is>
          <t>Intangible Assets</t>
        </is>
      </c>
      <c r="B71" s="10" t="inlineStr">
        <is>
          <t>INR Cr</t>
        </is>
      </c>
      <c r="C71" s="216">
        <f>Historicals!K64</f>
        <v/>
      </c>
      <c r="D71" s="216">
        <f>C71</f>
        <v/>
      </c>
      <c r="E71" s="216">
        <f>D71</f>
        <v/>
      </c>
      <c r="F71" s="216">
        <f>E71</f>
        <v/>
      </c>
      <c r="G71" s="216">
        <f>F71</f>
        <v/>
      </c>
      <c r="H71" s="216">
        <f>G71</f>
        <v/>
      </c>
      <c r="I71" s="216">
        <f>H71</f>
        <v/>
      </c>
    </row>
    <row r="72">
      <c r="A72" s="11" t="inlineStr">
        <is>
          <t>Capital Work-In-Progress</t>
        </is>
      </c>
      <c r="B72" s="10" t="inlineStr">
        <is>
          <t>INR Cr</t>
        </is>
      </c>
      <c r="C72" s="216">
        <f>Historicals!K65</f>
        <v/>
      </c>
      <c r="D72" s="216">
        <f>C72</f>
        <v/>
      </c>
      <c r="E72" s="216">
        <f>D72</f>
        <v/>
      </c>
      <c r="F72" s="216">
        <f>E72</f>
        <v/>
      </c>
      <c r="G72" s="216">
        <f>F72</f>
        <v/>
      </c>
      <c r="H72" s="216">
        <f>G72</f>
        <v/>
      </c>
      <c r="I72" s="216">
        <f>H72</f>
        <v/>
      </c>
    </row>
    <row r="73">
      <c r="A73" s="11" t="inlineStr">
        <is>
          <t>Intangible Assets Under Development</t>
        </is>
      </c>
      <c r="B73" s="10" t="inlineStr">
        <is>
          <t>INR Cr</t>
        </is>
      </c>
      <c r="C73" s="216" t="n">
        <v>0</v>
      </c>
      <c r="D73" s="216" t="n">
        <v>0</v>
      </c>
      <c r="E73" s="216" t="n">
        <v>0</v>
      </c>
      <c r="F73" s="216" t="n">
        <v>0</v>
      </c>
      <c r="G73" s="216" t="n">
        <v>0</v>
      </c>
      <c r="H73" s="216" t="n">
        <v>0</v>
      </c>
      <c r="I73" s="216" t="n">
        <v>0</v>
      </c>
    </row>
    <row r="74" customFormat="1" s="1">
      <c r="A74" s="12" t="inlineStr">
        <is>
          <t>Fixed Assets</t>
        </is>
      </c>
      <c r="B74" s="10" t="inlineStr">
        <is>
          <t>INR Cr</t>
        </is>
      </c>
      <c r="C74" s="217">
        <f>SUM(C70:C72)</f>
        <v/>
      </c>
      <c r="D74" s="217">
        <f>SUM(D70:D73)</f>
        <v/>
      </c>
      <c r="E74" s="217">
        <f>SUM(E70:E73)</f>
        <v/>
      </c>
      <c r="F74" s="217">
        <f>SUM(F70:F73)</f>
        <v/>
      </c>
      <c r="G74" s="217">
        <f>SUM(G70:G73)</f>
        <v/>
      </c>
      <c r="H74" s="217">
        <f>SUM(H70:H73)</f>
        <v/>
      </c>
      <c r="I74" s="217">
        <f>SUM(I70:I73)</f>
        <v/>
      </c>
    </row>
    <row r="75">
      <c r="A75" s="11" t="inlineStr">
        <is>
          <t>Non-Current Investments</t>
        </is>
      </c>
      <c r="B75" s="10" t="inlineStr">
        <is>
          <t>INR Cr</t>
        </is>
      </c>
      <c r="C75" s="216">
        <f>Historicals!K68</f>
        <v/>
      </c>
      <c r="D75" s="216">
        <f>C75</f>
        <v/>
      </c>
      <c r="E75" s="216">
        <f>D75</f>
        <v/>
      </c>
      <c r="F75" s="216">
        <f>E75</f>
        <v/>
      </c>
      <c r="G75" s="216">
        <f>F75</f>
        <v/>
      </c>
      <c r="H75" s="216">
        <f>G75</f>
        <v/>
      </c>
      <c r="I75" s="216">
        <f>H75</f>
        <v/>
      </c>
    </row>
    <row r="76">
      <c r="A76" s="11" t="inlineStr">
        <is>
          <t>Deferred Tax Assets [Net]</t>
        </is>
      </c>
      <c r="B76" s="10" t="inlineStr">
        <is>
          <t>INR Cr</t>
        </is>
      </c>
      <c r="C76" s="216">
        <f>Historicals!K69</f>
        <v/>
      </c>
      <c r="D76" s="216">
        <f>C76</f>
        <v/>
      </c>
      <c r="E76" s="216">
        <f>D76</f>
        <v/>
      </c>
      <c r="F76" s="216">
        <f>E76</f>
        <v/>
      </c>
      <c r="G76" s="216">
        <f>F76</f>
        <v/>
      </c>
      <c r="H76" s="216">
        <f>G76</f>
        <v/>
      </c>
      <c r="I76" s="216">
        <f>H76</f>
        <v/>
      </c>
    </row>
    <row r="77">
      <c r="A77" s="11" t="inlineStr">
        <is>
          <t>Long Term Loans &amp; Advances</t>
        </is>
      </c>
      <c r="B77" s="10" t="inlineStr">
        <is>
          <t>INR Cr</t>
        </is>
      </c>
      <c r="C77" s="216">
        <f>Historicals!K70</f>
        <v/>
      </c>
      <c r="D77" s="216">
        <f>C77*(1+D16)</f>
        <v/>
      </c>
      <c r="E77" s="216">
        <f>D77*(1+E16)</f>
        <v/>
      </c>
      <c r="F77" s="216">
        <f>E77*(1+F16)</f>
        <v/>
      </c>
      <c r="G77" s="216">
        <f>F77*(1+G16)</f>
        <v/>
      </c>
      <c r="H77" s="216">
        <f>G77*(1+H16)</f>
        <v/>
      </c>
      <c r="I77" s="216">
        <f>H77*(1+I16)</f>
        <v/>
      </c>
    </row>
    <row r="78">
      <c r="A78" s="11" t="inlineStr">
        <is>
          <t>Other Non-Current Assets</t>
        </is>
      </c>
      <c r="B78" s="10" t="inlineStr">
        <is>
          <t>INR Cr</t>
        </is>
      </c>
      <c r="C78" s="216">
        <f>Historicals!K71</f>
        <v/>
      </c>
      <c r="D78" s="216">
        <f>C78*D30/C30</f>
        <v/>
      </c>
      <c r="E78" s="216">
        <f>D78*E30/D30</f>
        <v/>
      </c>
      <c r="F78" s="216">
        <f>E78*F30/E30</f>
        <v/>
      </c>
      <c r="G78" s="216">
        <f>F78*G30/F30</f>
        <v/>
      </c>
      <c r="H78" s="216">
        <f>G78*H30/G30</f>
        <v/>
      </c>
      <c r="I78" s="216">
        <f>H78*I30/H30</f>
        <v/>
      </c>
    </row>
    <row r="79" customFormat="1" s="1">
      <c r="A79" s="12" t="inlineStr">
        <is>
          <t>Total Non-Current Assets</t>
        </is>
      </c>
      <c r="B79" s="10" t="inlineStr">
        <is>
          <t>INR Cr</t>
        </is>
      </c>
      <c r="C79" s="217">
        <f>SUM(C75:C78)</f>
        <v/>
      </c>
      <c r="D79" s="217">
        <f>SUM(D74:D78)</f>
        <v/>
      </c>
      <c r="E79" s="217">
        <f>SUM(E74:E78)</f>
        <v/>
      </c>
      <c r="F79" s="217">
        <f>SUM(F74:F78)</f>
        <v/>
      </c>
      <c r="G79" s="217">
        <f>SUM(G74:G78)</f>
        <v/>
      </c>
      <c r="H79" s="217">
        <f>SUM(H74:H78)</f>
        <v/>
      </c>
      <c r="I79" s="217">
        <f>SUM(I74:I78)</f>
        <v/>
      </c>
    </row>
    <row r="80">
      <c r="A80" s="11" t="inlineStr">
        <is>
          <t>Current Investments</t>
        </is>
      </c>
      <c r="B80" s="10" t="inlineStr">
        <is>
          <t>INR Cr</t>
        </is>
      </c>
      <c r="C80" s="216">
        <f>Historicals!K74</f>
        <v/>
      </c>
      <c r="D80" s="216">
        <f>C80</f>
        <v/>
      </c>
      <c r="E80" s="216">
        <f>D80</f>
        <v/>
      </c>
      <c r="F80" s="216">
        <f>E80</f>
        <v/>
      </c>
      <c r="G80" s="216">
        <f>F80</f>
        <v/>
      </c>
      <c r="H80" s="216">
        <f>G80</f>
        <v/>
      </c>
      <c r="I80" s="216">
        <f>H80</f>
        <v/>
      </c>
    </row>
    <row r="81">
      <c r="A81" s="11" t="inlineStr">
        <is>
          <t>Inventories</t>
        </is>
      </c>
      <c r="B81" s="10" t="inlineStr">
        <is>
          <t>INR Cr</t>
        </is>
      </c>
      <c r="C81" s="216">
        <f>Historicals!K75</f>
        <v/>
      </c>
      <c r="D81" s="216">
        <f>D19/365*D30</f>
        <v/>
      </c>
      <c r="E81" s="216">
        <f>E19/365*E30</f>
        <v/>
      </c>
      <c r="F81" s="216">
        <f>F19/365*F30</f>
        <v/>
      </c>
      <c r="G81" s="216">
        <f>G19/365*G30</f>
        <v/>
      </c>
      <c r="H81" s="216">
        <f>H19/365*H30</f>
        <v/>
      </c>
      <c r="I81" s="216">
        <f>I19/365*I30</f>
        <v/>
      </c>
    </row>
    <row r="82">
      <c r="A82" s="11" t="inlineStr">
        <is>
          <t>Trade Receivables</t>
        </is>
      </c>
      <c r="B82" s="10" t="inlineStr">
        <is>
          <t>INR Cr</t>
        </is>
      </c>
      <c r="C82" s="216">
        <f>Historicals!K76</f>
        <v/>
      </c>
      <c r="D82" s="216">
        <f>D18/365*D30</f>
        <v/>
      </c>
      <c r="E82" s="216">
        <f>E18/365*E30</f>
        <v/>
      </c>
      <c r="F82" s="216">
        <f>F18/365*F30</f>
        <v/>
      </c>
      <c r="G82" s="216">
        <f>G18/365*G30</f>
        <v/>
      </c>
      <c r="H82" s="216">
        <f>H18/365*H30</f>
        <v/>
      </c>
      <c r="I82" s="216">
        <f>I18/365*I30</f>
        <v/>
      </c>
    </row>
    <row r="83">
      <c r="A83" s="11" t="inlineStr">
        <is>
          <t>Short Term Loans &amp; Advances</t>
        </is>
      </c>
      <c r="B83" s="10" t="inlineStr">
        <is>
          <t>INR Cr</t>
        </is>
      </c>
      <c r="C83" s="216">
        <f>Historicals!K78</f>
        <v/>
      </c>
      <c r="D83" s="216">
        <f>C83*(1+D16)</f>
        <v/>
      </c>
      <c r="E83" s="216">
        <f>D83*(1+E16)</f>
        <v/>
      </c>
      <c r="F83" s="216">
        <f>E83*(1+F16)</f>
        <v/>
      </c>
      <c r="G83" s="216">
        <f>F83*(1+G16)</f>
        <v/>
      </c>
      <c r="H83" s="216">
        <f>G83*(1+H16)</f>
        <v/>
      </c>
      <c r="I83" s="216">
        <f>H83*(1+I16)</f>
        <v/>
      </c>
    </row>
    <row r="84">
      <c r="A84" s="11" t="inlineStr">
        <is>
          <t>Other Current Assets</t>
        </is>
      </c>
      <c r="B84" s="10" t="inlineStr">
        <is>
          <t>INR Cr</t>
        </is>
      </c>
      <c r="C84" s="216">
        <f>Historicals!K79</f>
        <v/>
      </c>
      <c r="D84" s="216">
        <f>C84*D30/C30</f>
        <v/>
      </c>
      <c r="E84" s="216">
        <f>D84*E30/D30</f>
        <v/>
      </c>
      <c r="F84" s="216">
        <f>E84*F30/E30</f>
        <v/>
      </c>
      <c r="G84" s="216">
        <f>F84*G30/F30</f>
        <v/>
      </c>
      <c r="H84" s="216">
        <f>G84*H30/G30</f>
        <v/>
      </c>
      <c r="I84" s="216">
        <f>H84*I30/H30</f>
        <v/>
      </c>
    </row>
    <row r="85" customFormat="1" s="1">
      <c r="A85" s="11" t="inlineStr">
        <is>
          <t>Cash &amp; Cash Equivalents</t>
        </is>
      </c>
      <c r="B85" s="10" t="inlineStr">
        <is>
          <t>INR Cr</t>
        </is>
      </c>
      <c r="C85" s="216">
        <f>Historicals!K77</f>
        <v/>
      </c>
      <c r="D85" s="216">
        <f>D69-SUM(D79:D84)</f>
        <v/>
      </c>
      <c r="E85" s="216">
        <f>E69-SUM(E79:E84)</f>
        <v/>
      </c>
      <c r="F85" s="216">
        <f>F69-SUM(F79:F84)</f>
        <v/>
      </c>
      <c r="G85" s="216">
        <f>G69-SUM(G79:G84)</f>
        <v/>
      </c>
      <c r="H85" s="216">
        <f>H69-SUM(H79:H84)</f>
        <v/>
      </c>
      <c r="I85" s="216">
        <f>I69-SUM(I79:I84)</f>
        <v/>
      </c>
    </row>
    <row r="86" customFormat="1" s="1">
      <c r="A86" s="78" t="inlineStr">
        <is>
          <t>Total Current Assets</t>
        </is>
      </c>
      <c r="B86" s="79" t="inlineStr">
        <is>
          <t>INR Cr</t>
        </is>
      </c>
      <c r="C86" s="221">
        <f>SUM(C80:C85)</f>
        <v/>
      </c>
      <c r="D86" s="221">
        <f>SUM(D80:D85)</f>
        <v/>
      </c>
      <c r="E86" s="221">
        <f>SUM(E80:E85)</f>
        <v/>
      </c>
      <c r="F86" s="221">
        <f>SUM(F80:F85)</f>
        <v/>
      </c>
      <c r="G86" s="221">
        <f>SUM(G80:G85)</f>
        <v/>
      </c>
      <c r="H86" s="221">
        <f>SUM(H80:H85)</f>
        <v/>
      </c>
      <c r="I86" s="221">
        <f>SUM(I80:I85)</f>
        <v/>
      </c>
    </row>
    <row r="87" customFormat="1" s="1">
      <c r="A87" s="12" t="inlineStr">
        <is>
          <t>Total Assets</t>
        </is>
      </c>
      <c r="B87" s="10" t="inlineStr">
        <is>
          <t>INR Cr</t>
        </is>
      </c>
      <c r="C87" s="217">
        <f>SUM(C86,C79,C74)</f>
        <v/>
      </c>
      <c r="D87" s="217">
        <f>D86+D79</f>
        <v/>
      </c>
      <c r="E87" s="217">
        <f>E86+E79</f>
        <v/>
      </c>
      <c r="F87" s="217">
        <f>F86+F79</f>
        <v/>
      </c>
      <c r="G87" s="217">
        <f>G86+G79</f>
        <v/>
      </c>
      <c r="H87" s="217">
        <f>H86+H79</f>
        <v/>
      </c>
      <c r="I87" s="217">
        <f>I86+I79</f>
        <v/>
      </c>
    </row>
    <row r="88">
      <c r="A88" s="2" t="n"/>
      <c r="C88" s="216" t="n"/>
      <c r="D88" s="216" t="n"/>
      <c r="E88" s="216" t="n"/>
      <c r="F88" s="216" t="n"/>
      <c r="G88" s="216" t="n"/>
      <c r="H88" s="216" t="n"/>
      <c r="I88" s="216" t="n"/>
    </row>
    <row r="89" ht="15" customHeight="1" s="191" thickBot="1">
      <c r="A89" s="57" t="inlineStr">
        <is>
          <t>E. CASH FLOW STATEMENT</t>
        </is>
      </c>
      <c r="B89" s="65" t="n"/>
      <c r="C89" s="216" t="n"/>
      <c r="D89" s="216" t="n"/>
      <c r="E89" s="216" t="n"/>
      <c r="F89" s="216" t="n"/>
      <c r="G89" s="216" t="n"/>
      <c r="H89" s="216" t="n"/>
      <c r="I89" s="216" t="n"/>
    </row>
    <row r="90">
      <c r="A90" s="11" t="inlineStr">
        <is>
          <t>PAT for the period</t>
        </is>
      </c>
      <c r="B90" s="10" t="inlineStr">
        <is>
          <t>INR Cr</t>
        </is>
      </c>
      <c r="C90" s="216">
        <f>C46</f>
        <v/>
      </c>
      <c r="D90" s="216">
        <f>D46</f>
        <v/>
      </c>
      <c r="E90" s="216">
        <f>E46</f>
        <v/>
      </c>
      <c r="F90" s="216">
        <f>F46</f>
        <v/>
      </c>
      <c r="G90" s="216">
        <f>G46</f>
        <v/>
      </c>
      <c r="H90" s="216">
        <f>H46</f>
        <v/>
      </c>
      <c r="I90" s="216">
        <f>I46</f>
        <v/>
      </c>
    </row>
    <row r="91">
      <c r="A91" s="11" t="inlineStr">
        <is>
          <t>Add: Depreciation &amp; amortisation</t>
        </is>
      </c>
      <c r="B91" s="10" t="inlineStr">
        <is>
          <t>INR Cr</t>
        </is>
      </c>
      <c r="C91" s="216">
        <f>C39</f>
        <v/>
      </c>
      <c r="D91" s="216">
        <f>D39</f>
        <v/>
      </c>
      <c r="E91" s="216">
        <f>E39</f>
        <v/>
      </c>
      <c r="F91" s="216">
        <f>F39</f>
        <v/>
      </c>
      <c r="G91" s="216">
        <f>G39</f>
        <v/>
      </c>
      <c r="H91" s="216">
        <f>H39</f>
        <v/>
      </c>
      <c r="I91" s="216">
        <f>I39</f>
        <v/>
      </c>
    </row>
    <row r="92">
      <c r="A92" s="11" t="inlineStr">
        <is>
          <t>Change in operating working capital</t>
        </is>
      </c>
      <c r="B92" s="10" t="inlineStr">
        <is>
          <t>INR Cr</t>
        </is>
      </c>
      <c r="C92" s="216" t="n"/>
      <c r="D92" s="216">
        <f>-(D81-C81)-(D82-C82)-(D84-C84)+(D67-C67)+(D65-C65)+(D66-C66)+(D62-C62)+(D61-C61)</f>
        <v/>
      </c>
      <c r="E92" s="216">
        <f>-(E81-D81)-(E82-D82)-(E84-D84)+(E67-D67)+(E65-D65)+(E66-D66)+(E62-D62)+(E61-D61)</f>
        <v/>
      </c>
      <c r="F92" s="216">
        <f>-(F81-E81)-(F82-E82)-(F84-E84)+(F67-E67)+(F65-E65)+(F66-E66)+(F62-E62)+(F61-E61)</f>
        <v/>
      </c>
      <c r="G92" s="216">
        <f>-(G81-F81)-(G82-F82)-(G84-F84)+(G67-F67)+(G65-F65)+(G66-F66)+(G62-F62)+(G61-F61)</f>
        <v/>
      </c>
      <c r="H92" s="216">
        <f>-(H81-G81)-(H82-G82)-(H84-G84)+(H67-G67)+(H65-G65)+(H66-G66)+(H62-G62)+(H61-G61)</f>
        <v/>
      </c>
      <c r="I92" s="216">
        <f>-(I81-H81)-(I82-H82)-(I84-H84)+(I67-H67)+(I65-H65)+(I66-H66)+(I62-H62)+(I61-H61)</f>
        <v/>
      </c>
    </row>
    <row r="93">
      <c r="A93" s="11" t="inlineStr">
        <is>
          <t>Change in other loans/advances</t>
        </is>
      </c>
      <c r="B93" s="10" t="inlineStr">
        <is>
          <t>INR Cr</t>
        </is>
      </c>
      <c r="C93" s="216" t="n"/>
      <c r="D93" s="216">
        <f>-((D77-C77)+(D83-C83))</f>
        <v/>
      </c>
      <c r="E93" s="216">
        <f>-((E77-D77)+(E83-D83))</f>
        <v/>
      </c>
      <c r="F93" s="216">
        <f>-((F77-E77)+(F83-E83))</f>
        <v/>
      </c>
      <c r="G93" s="216">
        <f>-((G77-F77)+(G83-F83))</f>
        <v/>
      </c>
      <c r="H93" s="216">
        <f>-((H77-G77)+(H83-G83))</f>
        <v/>
      </c>
      <c r="I93" s="216">
        <f>-((I77-H77)+(I83-H83))</f>
        <v/>
      </c>
    </row>
    <row r="94">
      <c r="A94" s="12" t="inlineStr">
        <is>
          <t>Cash from Operating Activities</t>
        </is>
      </c>
      <c r="B94" s="10" t="inlineStr">
        <is>
          <t>INR Cr</t>
        </is>
      </c>
      <c r="C94" s="217">
        <f>Historicals!K89</f>
        <v/>
      </c>
      <c r="D94" s="217">
        <f>SUM(D90:D93)</f>
        <v/>
      </c>
      <c r="E94" s="217">
        <f>SUM(E90:E93)</f>
        <v/>
      </c>
      <c r="F94" s="217">
        <f>SUM(F90:F93)</f>
        <v/>
      </c>
      <c r="G94" s="217">
        <f>SUM(G90:G93)</f>
        <v/>
      </c>
      <c r="H94" s="217">
        <f>SUM(H90:H93)</f>
        <v/>
      </c>
      <c r="I94" s="217">
        <f>SUM(I90:I93)</f>
        <v/>
      </c>
    </row>
    <row r="95">
      <c r="A95" s="11" t="inlineStr">
        <is>
          <t>Capex (purchase of fixed assets)</t>
        </is>
      </c>
      <c r="B95" s="10" t="inlineStr">
        <is>
          <t>INR Cr</t>
        </is>
      </c>
      <c r="C95" s="216" t="n"/>
      <c r="D95" s="216">
        <f>-D108</f>
        <v/>
      </c>
      <c r="E95" s="216">
        <f>-E108</f>
        <v/>
      </c>
      <c r="F95" s="216">
        <f>-F108</f>
        <v/>
      </c>
      <c r="G95" s="216">
        <f>-G108</f>
        <v/>
      </c>
      <c r="H95" s="216">
        <f>-H108</f>
        <v/>
      </c>
      <c r="I95" s="216">
        <f>-I108</f>
        <v/>
      </c>
    </row>
    <row r="96">
      <c r="A96" s="11" t="inlineStr">
        <is>
          <t>Change in other investing assets (net)</t>
        </is>
      </c>
      <c r="B96" s="10" t="inlineStr">
        <is>
          <t>INR Cr</t>
        </is>
      </c>
      <c r="C96" s="216" t="n"/>
      <c r="D96" s="216">
        <f>-(D71-C71)-(D72-C72)-(D73-C73)-(D75-C75)-(D76-C76)-(D78-C78)-(D80-C80)</f>
        <v/>
      </c>
      <c r="E96" s="216">
        <f>-(E71-D71)-(E72-D72)-(E73-D73)-(E75-D75)-(E76-D76)-(E78-D78)-(E80-D80)</f>
        <v/>
      </c>
      <c r="F96" s="216">
        <f>-(F71-E71)-(F72-E72)-(F73-E73)-(F75-E75)-(F76-E76)-(F78-E78)-(F80-E80)</f>
        <v/>
      </c>
      <c r="G96" s="216">
        <f>-(G71-F71)-(G72-F72)-(G73-F73)-(G75-F75)-(G76-F76)-(G78-F78)-(G80-F80)</f>
        <v/>
      </c>
      <c r="H96" s="216">
        <f>-(H71-G71)-(H72-G72)-(H73-G73)-(H75-G75)-(H76-G76)-(H78-G78)-(H80-G80)</f>
        <v/>
      </c>
      <c r="I96" s="216">
        <f>-(I71-H71)-(I72-H72)-(I73-H73)-(I75-H75)-(I76-H76)-(I78-H78)-(I80-H80)</f>
        <v/>
      </c>
    </row>
    <row r="97">
      <c r="A97" s="12" t="inlineStr">
        <is>
          <t>Cash from Investing Activities</t>
        </is>
      </c>
      <c r="B97" s="10" t="inlineStr">
        <is>
          <t>INR Cr</t>
        </is>
      </c>
      <c r="C97" s="217">
        <f>Historicals!K98</f>
        <v/>
      </c>
      <c r="D97" s="217">
        <f>D96+D95</f>
        <v/>
      </c>
      <c r="E97" s="217">
        <f>E96+E95</f>
        <v/>
      </c>
      <c r="F97" s="217">
        <f>F96+F95</f>
        <v/>
      </c>
      <c r="G97" s="217">
        <f>G96+G95</f>
        <v/>
      </c>
      <c r="H97" s="217">
        <f>H96+H95</f>
        <v/>
      </c>
      <c r="I97" s="217">
        <f>I96+I95</f>
        <v/>
      </c>
    </row>
    <row r="98">
      <c r="A98" s="11" t="inlineStr">
        <is>
          <t>Change in borrowings</t>
        </is>
      </c>
      <c r="B98" s="10" t="inlineStr">
        <is>
          <t>INR Cr</t>
        </is>
      </c>
      <c r="C98" s="216" t="n"/>
      <c r="D98" s="216">
        <f>(D59-C59)+(D64-C64)</f>
        <v/>
      </c>
      <c r="E98" s="216">
        <f>(E59-D59)+(E64-D64)</f>
        <v/>
      </c>
      <c r="F98" s="216">
        <f>(F59-E59)+(F64-E64)</f>
        <v/>
      </c>
      <c r="G98" s="216">
        <f>(G59-F59)+(G64-F64)</f>
        <v/>
      </c>
      <c r="H98" s="216">
        <f>(H59-G59)+(H64-G64)</f>
        <v/>
      </c>
      <c r="I98" s="216">
        <f>(I59-H59)+(I64-H64)</f>
        <v/>
      </c>
    </row>
    <row r="99">
      <c r="A99" s="11" t="inlineStr">
        <is>
          <t>Dividends paid</t>
        </is>
      </c>
      <c r="B99" s="10" t="inlineStr">
        <is>
          <t>INR Cr</t>
        </is>
      </c>
      <c r="C99" s="216" t="n"/>
      <c r="D99" s="216">
        <f>-D50</f>
        <v/>
      </c>
      <c r="E99" s="216">
        <f>-E50</f>
        <v/>
      </c>
      <c r="F99" s="216">
        <f>-F50</f>
        <v/>
      </c>
      <c r="G99" s="216">
        <f>-G50</f>
        <v/>
      </c>
      <c r="H99" s="216">
        <f>-H50</f>
        <v/>
      </c>
      <c r="I99" s="216">
        <f>-I50</f>
        <v/>
      </c>
    </row>
    <row r="100">
      <c r="A100" s="11" t="inlineStr">
        <is>
          <t>Other financing (deferred-tax-liab change)</t>
        </is>
      </c>
      <c r="B100" s="10" t="inlineStr">
        <is>
          <t>INR Cr</t>
        </is>
      </c>
      <c r="C100" s="216" t="n"/>
      <c r="D100" s="216">
        <f>D60-C60</f>
        <v/>
      </c>
      <c r="E100" s="216">
        <f>E60-D60</f>
        <v/>
      </c>
      <c r="F100" s="216">
        <f>F60-E60</f>
        <v/>
      </c>
      <c r="G100" s="216">
        <f>G60-F60</f>
        <v/>
      </c>
      <c r="H100" s="216">
        <f>H60-G60</f>
        <v/>
      </c>
      <c r="I100" s="216">
        <f>I60-H60</f>
        <v/>
      </c>
    </row>
    <row r="101">
      <c r="A101" s="12" t="inlineStr">
        <is>
          <t>Cash from Financing Activities</t>
        </is>
      </c>
      <c r="B101" s="10" t="inlineStr">
        <is>
          <t>INR Cr</t>
        </is>
      </c>
      <c r="C101" s="217">
        <f>Historicals!K110</f>
        <v/>
      </c>
      <c r="D101" s="217">
        <f>SUM(D98:D100)</f>
        <v/>
      </c>
      <c r="E101" s="217">
        <f>SUM(E98:E100)</f>
        <v/>
      </c>
      <c r="F101" s="217">
        <f>SUM(F98:F100)</f>
        <v/>
      </c>
      <c r="G101" s="217">
        <f>SUM(G98:G100)</f>
        <v/>
      </c>
      <c r="H101" s="217">
        <f>SUM(H98:H100)</f>
        <v/>
      </c>
      <c r="I101" s="217">
        <f>SUM(I98:I100)</f>
        <v/>
      </c>
    </row>
    <row r="102">
      <c r="A102" s="12" t="inlineStr">
        <is>
          <t>Net Change in Cash</t>
        </is>
      </c>
      <c r="B102" s="10" t="inlineStr">
        <is>
          <t>INR Cr</t>
        </is>
      </c>
      <c r="C102" s="217">
        <f>C101+C97+C94</f>
        <v/>
      </c>
      <c r="D102" s="217">
        <f>D101+D97+D94</f>
        <v/>
      </c>
      <c r="E102" s="217">
        <f>E101+E97+E94</f>
        <v/>
      </c>
      <c r="F102" s="217">
        <f>F101+F97+F94</f>
        <v/>
      </c>
      <c r="G102" s="217">
        <f>G101+G97+G94</f>
        <v/>
      </c>
      <c r="H102" s="217">
        <f>H101+H97+H94</f>
        <v/>
      </c>
      <c r="I102" s="217">
        <f>I101+I97+I94</f>
        <v/>
      </c>
    </row>
    <row r="103">
      <c r="A103" s="11" t="inlineStr">
        <is>
          <t>Opening cash</t>
        </is>
      </c>
      <c r="B103" s="10" t="inlineStr">
        <is>
          <t>INR Cr</t>
        </is>
      </c>
      <c r="C103" s="216">
        <f>C85</f>
        <v/>
      </c>
      <c r="D103" s="216">
        <f>C85</f>
        <v/>
      </c>
      <c r="E103" s="216">
        <f>D85</f>
        <v/>
      </c>
      <c r="F103" s="216">
        <f>E85</f>
        <v/>
      </c>
      <c r="G103" s="216">
        <f>F85</f>
        <v/>
      </c>
      <c r="H103" s="216">
        <f>G85</f>
        <v/>
      </c>
      <c r="I103" s="216">
        <f>H85</f>
        <v/>
      </c>
    </row>
    <row r="104">
      <c r="A104" s="12" t="inlineStr">
        <is>
          <t>Closing cash (CF-derived)</t>
        </is>
      </c>
      <c r="B104" s="10" t="inlineStr">
        <is>
          <t>INR Cr</t>
        </is>
      </c>
      <c r="C104" s="217">
        <f>C103+C102</f>
        <v/>
      </c>
      <c r="D104" s="217">
        <f>D103+D102</f>
        <v/>
      </c>
      <c r="E104" s="217">
        <f>E103+E102</f>
        <v/>
      </c>
      <c r="F104" s="217">
        <f>F103+F102</f>
        <v/>
      </c>
      <c r="G104" s="217">
        <f>G103+G102</f>
        <v/>
      </c>
      <c r="H104" s="217">
        <f>H103+H102</f>
        <v/>
      </c>
      <c r="I104" s="217">
        <f>I103+I102</f>
        <v/>
      </c>
    </row>
    <row r="105">
      <c r="A105" s="11" t="inlineStr">
        <is>
          <t>Memo: Free cash flow (CFO - capex)</t>
        </is>
      </c>
      <c r="B105" s="10" t="inlineStr">
        <is>
          <t>INR Cr</t>
        </is>
      </c>
      <c r="C105" s="216">
        <f>Historicals!K118</f>
        <v/>
      </c>
      <c r="D105" s="216">
        <f>D94-D108</f>
        <v/>
      </c>
      <c r="E105" s="216">
        <f>E94-E108</f>
        <v/>
      </c>
      <c r="F105" s="216">
        <f>F94-F108</f>
        <v/>
      </c>
      <c r="G105" s="216">
        <f>G94-G108</f>
        <v/>
      </c>
      <c r="H105" s="216">
        <f>H94-H108</f>
        <v/>
      </c>
      <c r="I105" s="216">
        <f>I94-I108</f>
        <v/>
      </c>
    </row>
    <row r="106">
      <c r="C106" s="216" t="n"/>
      <c r="D106" s="216" t="n"/>
      <c r="E106" s="216" t="n"/>
      <c r="F106" s="216" t="n"/>
      <c r="G106" s="216" t="n"/>
      <c r="H106" s="216" t="n"/>
      <c r="I106" s="216" t="n"/>
    </row>
    <row r="107" ht="15" customHeight="1" s="191" thickBot="1">
      <c r="A107" s="57" t="inlineStr">
        <is>
          <t>F. SUPPORTING SCHEDULE</t>
        </is>
      </c>
      <c r="B107" s="3" t="n"/>
      <c r="C107" s="216" t="n"/>
      <c r="D107" s="216" t="n"/>
      <c r="E107" s="216" t="n"/>
      <c r="F107" s="216" t="n"/>
      <c r="G107" s="216" t="n"/>
      <c r="H107" s="216" t="n"/>
      <c r="I107" s="216" t="n"/>
    </row>
    <row r="108">
      <c r="A108" s="11" t="inlineStr">
        <is>
          <t>Capex (= capex% x revenue)</t>
        </is>
      </c>
      <c r="B108" s="10" t="inlineStr">
        <is>
          <t>INR Cr</t>
        </is>
      </c>
      <c r="C108" s="216" t="n">
        <v>1700</v>
      </c>
      <c r="D108" s="216">
        <f>D30*D13</f>
        <v/>
      </c>
      <c r="E108" s="216">
        <f>E30*E13</f>
        <v/>
      </c>
      <c r="F108" s="216">
        <f>F30*F13</f>
        <v/>
      </c>
      <c r="G108" s="216">
        <f>G30*G13</f>
        <v/>
      </c>
      <c r="H108" s="216">
        <f>H30*H13</f>
        <v/>
      </c>
      <c r="I108" s="216">
        <f>I30*I13</f>
        <v/>
      </c>
    </row>
    <row r="109">
      <c r="C109" s="216" t="n"/>
      <c r="D109" s="216" t="n"/>
      <c r="E109" s="216" t="n"/>
      <c r="F109" s="216" t="n"/>
      <c r="G109" s="216" t="n"/>
      <c r="H109" s="216" t="n"/>
      <c r="I109" s="216" t="n"/>
    </row>
    <row r="110" ht="15" customHeight="1" s="191" thickBot="1">
      <c r="A110" s="57" t="inlineStr">
        <is>
          <t>G. RECONCILIATION CHECKS (must be ~0)</t>
        </is>
      </c>
      <c r="B110" s="3" t="n"/>
      <c r="C110" s="216" t="n"/>
      <c r="D110" s="216" t="n"/>
      <c r="E110" s="216" t="n"/>
      <c r="F110" s="216" t="n"/>
      <c r="G110" s="216" t="n"/>
      <c r="H110" s="216" t="n"/>
      <c r="I110" s="216" t="n"/>
    </row>
    <row r="111">
      <c r="A111" s="11" t="inlineStr">
        <is>
          <t>Balance check: Total Assets - Total Cap&amp;Liab</t>
        </is>
      </c>
      <c r="B111" s="10" t="inlineStr">
        <is>
          <t>INR Cr</t>
        </is>
      </c>
      <c r="C111" s="81" t="n"/>
      <c r="D111" s="81">
        <f>D87-D69</f>
        <v/>
      </c>
      <c r="E111" s="81">
        <f>E87-E69</f>
        <v/>
      </c>
      <c r="F111" s="81">
        <f>F87-F69</f>
        <v/>
      </c>
      <c r="G111" s="81">
        <f>G87-G69</f>
        <v/>
      </c>
      <c r="H111" s="81">
        <f>H87-H69</f>
        <v/>
      </c>
      <c r="I111" s="81">
        <f>I87-I69</f>
        <v/>
      </c>
    </row>
    <row r="112">
      <c r="A112" s="11" t="inlineStr">
        <is>
          <t>Cash tie: CF closing cash - BS cash</t>
        </is>
      </c>
      <c r="B112" s="10" t="inlineStr">
        <is>
          <t>INR Cr</t>
        </is>
      </c>
      <c r="C112" s="81" t="n"/>
      <c r="D112" s="82">
        <f>D104-D85</f>
        <v/>
      </c>
      <c r="E112" s="82">
        <f>E104-E85</f>
        <v/>
      </c>
      <c r="F112" s="82">
        <f>F104-F85</f>
        <v/>
      </c>
      <c r="G112" s="82">
        <f>G104-G85</f>
        <v/>
      </c>
      <c r="H112" s="82">
        <f>H104-H85</f>
        <v/>
      </c>
      <c r="I112" s="82">
        <f>I104-I85</f>
        <v/>
      </c>
    </row>
    <row r="113">
      <c r="C113" s="216" t="n"/>
      <c r="D113" s="216" t="n"/>
      <c r="E113" s="216" t="n"/>
      <c r="F113" s="216" t="n"/>
      <c r="G113" s="216" t="n"/>
      <c r="H113" s="216" t="n"/>
      <c r="I113" s="216" t="n"/>
    </row>
    <row r="114" ht="15" customHeight="1" s="191" thickBot="1">
      <c r="A114" s="57" t="inlineStr">
        <is>
          <t>H. YEAR-OVER-YEAR GROWTH RATES (additional key lines)</t>
        </is>
      </c>
      <c r="B114" s="3" t="n"/>
      <c r="C114" s="216" t="n"/>
      <c r="D114" s="216" t="n"/>
      <c r="E114" s="216" t="n"/>
      <c r="F114" s="216" t="n"/>
      <c r="G114" s="216" t="n"/>
      <c r="H114" s="216" t="n"/>
      <c r="I114" s="216" t="n"/>
    </row>
    <row r="115">
      <c r="A115" s="64" t="inlineStr">
        <is>
          <t>Total revenue growth %</t>
        </is>
      </c>
      <c r="B115" s="62" t="inlineStr">
        <is>
          <t>%</t>
        </is>
      </c>
      <c r="C115" s="216" t="n"/>
      <c r="D115" s="75">
        <f>LN(D33/C33)</f>
        <v/>
      </c>
      <c r="E115" s="75">
        <f>LN(E33/D33)</f>
        <v/>
      </c>
      <c r="F115" s="75">
        <f>LN(F33/E33)</f>
        <v/>
      </c>
      <c r="G115" s="75">
        <f>LN(G33/F33)</f>
        <v/>
      </c>
      <c r="H115" s="75">
        <f>LN(H33/G33)</f>
        <v/>
      </c>
      <c r="I115" s="75">
        <f>LN(I33/H33)</f>
        <v/>
      </c>
    </row>
    <row r="116">
      <c r="A116" s="64" t="inlineStr">
        <is>
          <t>EBITDA growth %</t>
        </is>
      </c>
      <c r="B116" s="62" t="inlineStr">
        <is>
          <t>%</t>
        </is>
      </c>
      <c r="C116" s="216" t="n"/>
      <c r="D116" s="75">
        <f>LN(D51/C51)</f>
        <v/>
      </c>
      <c r="E116" s="75">
        <f>LN(E51/D51)</f>
        <v/>
      </c>
      <c r="F116" s="75">
        <f>LN(F51/E51)</f>
        <v/>
      </c>
      <c r="G116" s="75">
        <f>LN(G51/F51)</f>
        <v/>
      </c>
      <c r="H116" s="75">
        <f>LN(H51/G51)</f>
        <v/>
      </c>
      <c r="I116" s="75">
        <f>LN(I51/H51)</f>
        <v/>
      </c>
    </row>
    <row r="117">
      <c r="A117" s="64" t="inlineStr">
        <is>
          <t>PBT growth %</t>
        </is>
      </c>
      <c r="B117" s="62" t="inlineStr">
        <is>
          <t>%</t>
        </is>
      </c>
      <c r="C117" s="216" t="n"/>
      <c r="D117" s="75">
        <f>LN(D44/C44)</f>
        <v/>
      </c>
      <c r="E117" s="75">
        <f>LN(E44/D44)</f>
        <v/>
      </c>
      <c r="F117" s="75">
        <f>LN(F44/E44)</f>
        <v/>
      </c>
      <c r="G117" s="75">
        <f>LN(G44/F44)</f>
        <v/>
      </c>
      <c r="H117" s="75">
        <f>LN(H44/G44)</f>
        <v/>
      </c>
      <c r="I117" s="75">
        <f>LN(I44/H44)</f>
        <v/>
      </c>
    </row>
    <row r="118">
      <c r="A118" s="64" t="inlineStr">
        <is>
          <t>PAT for period growth %</t>
        </is>
      </c>
      <c r="B118" s="62" t="inlineStr">
        <is>
          <t>%</t>
        </is>
      </c>
      <c r="C118" s="216" t="n"/>
      <c r="D118" s="75">
        <f>LN(D46/C46)</f>
        <v/>
      </c>
      <c r="E118" s="75">
        <f>LN(E46/D46)</f>
        <v/>
      </c>
      <c r="F118" s="75">
        <f>LN(F46/E46)</f>
        <v/>
      </c>
      <c r="G118" s="75">
        <f>LN(G46/F46)</f>
        <v/>
      </c>
      <c r="H118" s="75">
        <f>LN(H46/G46)</f>
        <v/>
      </c>
      <c r="I118" s="75">
        <f>LN(I46/H46)</f>
        <v/>
      </c>
    </row>
    <row r="119">
      <c r="A119" s="64" t="inlineStr">
        <is>
          <t>Capex growth %</t>
        </is>
      </c>
      <c r="B119" s="62" t="inlineStr">
        <is>
          <t>%</t>
        </is>
      </c>
      <c r="C119" s="216" t="n"/>
      <c r="D119" s="75">
        <f>LN(D108/C108)</f>
        <v/>
      </c>
      <c r="E119" s="75">
        <f>LN(E108/D108)</f>
        <v/>
      </c>
      <c r="F119" s="75">
        <f>LN(F108/E108)</f>
        <v/>
      </c>
      <c r="G119" s="75">
        <f>LN(G108/F108)</f>
        <v/>
      </c>
      <c r="H119" s="75">
        <f>LN(H108/G108)</f>
        <v/>
      </c>
      <c r="I119" s="75">
        <f>LN(I108/H108)</f>
        <v/>
      </c>
    </row>
    <row r="120">
      <c r="A120" s="64" t="inlineStr">
        <is>
          <t>Inventories growth %</t>
        </is>
      </c>
      <c r="B120" s="62" t="inlineStr">
        <is>
          <t>%</t>
        </is>
      </c>
      <c r="C120" s="216" t="n"/>
      <c r="D120" s="75">
        <f>LN(D81/C81)</f>
        <v/>
      </c>
      <c r="E120" s="75">
        <f>LN(E81/D81)</f>
        <v/>
      </c>
      <c r="F120" s="75">
        <f>LN(F81/E81)</f>
        <v/>
      </c>
      <c r="G120" s="75">
        <f>LN(G81/F81)</f>
        <v/>
      </c>
      <c r="H120" s="75">
        <f>LN(H81/G81)</f>
        <v/>
      </c>
      <c r="I120" s="75">
        <f>LN(I81/H81)</f>
        <v/>
      </c>
    </row>
    <row r="121">
      <c r="A121" s="64" t="inlineStr">
        <is>
          <t>Receivables growth %</t>
        </is>
      </c>
      <c r="B121" s="62" t="inlineStr">
        <is>
          <t>%</t>
        </is>
      </c>
      <c r="C121" s="216" t="n"/>
      <c r="D121" s="75">
        <f>LN(D82/C82)</f>
        <v/>
      </c>
      <c r="E121" s="75">
        <f>LN(E82/D82)</f>
        <v/>
      </c>
      <c r="F121" s="75">
        <f>LN(F82/E82)</f>
        <v/>
      </c>
      <c r="G121" s="75">
        <f>LN(G82/F82)</f>
        <v/>
      </c>
      <c r="H121" s="75">
        <f>LN(H82/G82)</f>
        <v/>
      </c>
      <c r="I121" s="75">
        <f>LN(I82/H82)</f>
        <v/>
      </c>
    </row>
    <row r="122">
      <c r="A122" s="64" t="inlineStr">
        <is>
          <t>Payables growth %</t>
        </is>
      </c>
      <c r="B122" s="62" t="inlineStr">
        <is>
          <t>%</t>
        </is>
      </c>
      <c r="C122" s="216" t="n"/>
      <c r="D122" s="75">
        <f>LN(D65/C65)</f>
        <v/>
      </c>
      <c r="E122" s="75">
        <f>LN(E65/D65)</f>
        <v/>
      </c>
      <c r="F122" s="75">
        <f>LN(F65/E65)</f>
        <v/>
      </c>
      <c r="G122" s="75">
        <f>LN(G65/F65)</f>
        <v/>
      </c>
      <c r="H122" s="75">
        <f>LN(H65/G65)</f>
        <v/>
      </c>
      <c r="I122" s="75">
        <f>LN(I65/H65)</f>
        <v/>
      </c>
    </row>
    <row r="123">
      <c r="A123" s="64" t="inlineStr">
        <is>
          <t>CFO growth %</t>
        </is>
      </c>
      <c r="B123" s="62" t="inlineStr">
        <is>
          <t>%</t>
        </is>
      </c>
      <c r="C123" s="216" t="n"/>
      <c r="D123" s="75">
        <f>LN(D94/C94)</f>
        <v/>
      </c>
      <c r="E123" s="75">
        <f>LN(E94/D94)</f>
        <v/>
      </c>
      <c r="F123" s="75">
        <f>LN(F94/E94)</f>
        <v/>
      </c>
      <c r="G123" s="75">
        <f>LN(G94/F94)</f>
        <v/>
      </c>
      <c r="H123" s="75">
        <f>LN(H94/G94)</f>
        <v/>
      </c>
      <c r="I123" s="75">
        <f>LN(I94/H94)</f>
        <v/>
      </c>
    </row>
    <row r="124">
      <c r="A124" s="64" t="inlineStr">
        <is>
          <t>FCF growth %</t>
        </is>
      </c>
      <c r="B124" s="62" t="inlineStr">
        <is>
          <t>%</t>
        </is>
      </c>
      <c r="C124" s="216" t="n"/>
      <c r="D124" s="75">
        <f>LN(D105/C105)</f>
        <v/>
      </c>
      <c r="E124" s="75">
        <f>LN(E105/D105)</f>
        <v/>
      </c>
      <c r="F124" s="75">
        <f>LN(F105/E105)</f>
        <v/>
      </c>
      <c r="G124" s="75">
        <f>((G105-F105)/F105)-1</f>
        <v/>
      </c>
      <c r="H124" s="75">
        <f>((H105-G105)/G105)-1</f>
        <v/>
      </c>
      <c r="I124" s="75">
        <f>LN(I105/H105)</f>
        <v/>
      </c>
    </row>
    <row r="125">
      <c r="A125" s="64" t="inlineStr">
        <is>
          <t>LT borrowings growth %</t>
        </is>
      </c>
      <c r="B125" s="62" t="inlineStr">
        <is>
          <t>%</t>
        </is>
      </c>
      <c r="C125" s="216" t="n"/>
      <c r="D125" s="75">
        <f>LN(D59/C59)</f>
        <v/>
      </c>
      <c r="E125" s="75">
        <f>LN(E59/D59)</f>
        <v/>
      </c>
      <c r="F125" s="75">
        <f>LN(F59/E59)</f>
        <v/>
      </c>
      <c r="G125" s="75">
        <f>LN(G59/F59)</f>
        <v/>
      </c>
      <c r="H125" s="75">
        <f>LN(H59/G59)</f>
        <v/>
      </c>
      <c r="I125" s="75">
        <f>LN(I59/H59)</f>
        <v/>
      </c>
    </row>
    <row r="126">
      <c r="C126" s="216" t="n"/>
      <c r="D126" s="216" t="n"/>
      <c r="E126" s="216" t="n"/>
      <c r="F126" s="216" t="n"/>
      <c r="G126" s="216" t="n"/>
      <c r="H126" s="216" t="n"/>
      <c r="I126" s="216" t="n"/>
    </row>
    <row r="127">
      <c r="C127" s="216" t="n"/>
      <c r="D127" s="216" t="n"/>
      <c r="E127" s="216" t="n"/>
      <c r="F127" s="216" t="n"/>
      <c r="G127" s="216" t="n"/>
      <c r="H127" s="216" t="n"/>
      <c r="I127" s="216" t="n"/>
    </row>
    <row r="128">
      <c r="C128" s="216" t="n"/>
      <c r="D128" s="216" t="n"/>
      <c r="E128" s="216" t="n"/>
      <c r="F128" s="216" t="n"/>
      <c r="G128" s="216" t="n"/>
      <c r="H128" s="216" t="n"/>
      <c r="I128" s="216" t="n"/>
    </row>
    <row r="129">
      <c r="C129" s="216" t="n"/>
      <c r="D129" s="216" t="n"/>
      <c r="E129" s="216" t="n"/>
      <c r="F129" s="216" t="n"/>
      <c r="G129" s="216" t="n"/>
      <c r="H129" s="216" t="n"/>
      <c r="I129" s="216" t="n"/>
    </row>
    <row r="130">
      <c r="C130" s="216" t="n"/>
      <c r="D130" s="216" t="n"/>
      <c r="E130" s="216" t="n"/>
      <c r="F130" s="216" t="n"/>
      <c r="G130" s="216" t="n"/>
      <c r="H130" s="216" t="n"/>
      <c r="I130" s="216" t="n"/>
    </row>
    <row r="131">
      <c r="C131" s="216" t="n"/>
      <c r="D131" s="216" t="n"/>
      <c r="E131" s="216" t="n"/>
      <c r="F131" s="216" t="n"/>
      <c r="G131" s="216" t="n"/>
      <c r="H131" s="216" t="n"/>
      <c r="I131" s="216" t="n"/>
    </row>
    <row r="132">
      <c r="C132" s="216" t="n"/>
      <c r="D132" s="216" t="n"/>
      <c r="E132" s="216" t="n"/>
      <c r="F132" s="216" t="n"/>
      <c r="G132" s="216" t="n"/>
      <c r="H132" s="216" t="n"/>
      <c r="I132" s="216" t="n"/>
    </row>
    <row r="133">
      <c r="C133" s="216" t="n"/>
      <c r="D133" s="216" t="n"/>
      <c r="E133" s="216" t="n"/>
      <c r="F133" s="216" t="n"/>
      <c r="G133" s="216" t="n"/>
      <c r="H133" s="216" t="n"/>
      <c r="I133" s="216" t="n"/>
    </row>
    <row r="134">
      <c r="C134" s="216" t="n"/>
      <c r="D134" s="216" t="n"/>
      <c r="E134" s="216" t="n"/>
      <c r="F134" s="216" t="n"/>
      <c r="G134" s="216" t="n"/>
      <c r="H134" s="216" t="n"/>
      <c r="I134" s="216" t="n"/>
    </row>
    <row r="135">
      <c r="C135" s="216" t="n"/>
      <c r="D135" s="216" t="n"/>
      <c r="E135" s="216" t="n"/>
      <c r="F135" s="216" t="n"/>
      <c r="G135" s="216" t="n"/>
      <c r="H135" s="216" t="n"/>
      <c r="I135" s="216" t="n"/>
    </row>
    <row r="136">
      <c r="C136" s="216" t="n"/>
      <c r="D136" s="216" t="n"/>
      <c r="E136" s="216" t="n"/>
      <c r="F136" s="216" t="n"/>
      <c r="G136" s="216" t="n"/>
      <c r="H136" s="216" t="n"/>
      <c r="I136" s="216" t="n"/>
    </row>
    <row r="137">
      <c r="C137" s="216" t="n"/>
      <c r="D137" s="216" t="n"/>
      <c r="E137" s="216" t="n"/>
      <c r="F137" s="216" t="n"/>
      <c r="G137" s="216" t="n"/>
      <c r="H137" s="216" t="n"/>
      <c r="I137" s="216" t="n"/>
    </row>
    <row r="138">
      <c r="C138" s="216" t="n"/>
      <c r="D138" s="216" t="n"/>
      <c r="E138" s="216" t="n"/>
      <c r="F138" s="216" t="n"/>
      <c r="G138" s="216" t="n"/>
      <c r="H138" s="216" t="n"/>
      <c r="I138" s="216" t="n"/>
    </row>
    <row r="139">
      <c r="C139" s="216" t="n"/>
      <c r="D139" s="216" t="n"/>
      <c r="E139" s="216" t="n"/>
      <c r="F139" s="216" t="n"/>
      <c r="G139" s="216" t="n"/>
      <c r="H139" s="216" t="n"/>
      <c r="I139" s="216" t="n"/>
    </row>
    <row r="140">
      <c r="C140" s="216" t="n"/>
      <c r="D140" s="216" t="n"/>
      <c r="E140" s="216" t="n"/>
      <c r="F140" s="216" t="n"/>
      <c r="G140" s="216" t="n"/>
      <c r="H140" s="216" t="n"/>
      <c r="I140" s="216" t="n"/>
    </row>
    <row r="141">
      <c r="C141" s="216" t="n"/>
      <c r="D141" s="216" t="n"/>
      <c r="E141" s="216" t="n"/>
      <c r="F141" s="216" t="n"/>
      <c r="G141" s="216" t="n"/>
      <c r="H141" s="216" t="n"/>
      <c r="I141" s="216" t="n"/>
    </row>
    <row r="142">
      <c r="C142" s="216" t="n"/>
      <c r="D142" s="216" t="n"/>
      <c r="E142" s="216" t="n"/>
      <c r="F142" s="216" t="n"/>
      <c r="G142" s="216" t="n"/>
      <c r="H142" s="216" t="n"/>
      <c r="I142" s="216" t="n"/>
    </row>
    <row r="143">
      <c r="C143" s="216" t="n"/>
      <c r="D143" s="216" t="n"/>
      <c r="E143" s="216" t="n"/>
      <c r="F143" s="216" t="n"/>
      <c r="G143" s="216" t="n"/>
      <c r="H143" s="216" t="n"/>
      <c r="I143" s="216" t="n"/>
    </row>
    <row r="144">
      <c r="C144" s="216" t="n"/>
      <c r="D144" s="216" t="n"/>
      <c r="E144" s="216" t="n"/>
      <c r="F144" s="216" t="n"/>
      <c r="G144" s="216" t="n"/>
      <c r="H144" s="216" t="n"/>
      <c r="I144" s="216" t="n"/>
    </row>
    <row r="145">
      <c r="C145" s="216" t="n"/>
      <c r="D145" s="216" t="n"/>
      <c r="E145" s="216" t="n"/>
      <c r="F145" s="216" t="n"/>
      <c r="G145" s="216" t="n"/>
      <c r="H145" s="216" t="n"/>
      <c r="I145" s="216" t="n"/>
    </row>
    <row r="146">
      <c r="C146" s="216" t="n"/>
      <c r="D146" s="216" t="n"/>
      <c r="E146" s="216" t="n"/>
      <c r="F146" s="216" t="n"/>
      <c r="G146" s="216" t="n"/>
      <c r="H146" s="216" t="n"/>
      <c r="I146" s="216" t="n"/>
    </row>
    <row r="147">
      <c r="C147" s="216" t="n"/>
      <c r="D147" s="216" t="n"/>
      <c r="E147" s="216" t="n"/>
      <c r="F147" s="216" t="n"/>
      <c r="G147" s="216" t="n"/>
      <c r="H147" s="216" t="n"/>
      <c r="I147" s="216" t="n"/>
    </row>
    <row r="148">
      <c r="C148" s="216" t="n"/>
      <c r="D148" s="216" t="n"/>
      <c r="E148" s="216" t="n"/>
      <c r="F148" s="216" t="n"/>
      <c r="G148" s="216" t="n"/>
      <c r="H148" s="216" t="n"/>
      <c r="I148" s="216" t="n"/>
    </row>
    <row r="149">
      <c r="C149" s="216" t="n"/>
      <c r="D149" s="216" t="n"/>
      <c r="E149" s="216" t="n"/>
      <c r="F149" s="216" t="n"/>
      <c r="G149" s="216" t="n"/>
      <c r="H149" s="216" t="n"/>
      <c r="I149" s="216" t="n"/>
    </row>
    <row r="150">
      <c r="C150" s="216" t="n"/>
      <c r="D150" s="216" t="n"/>
      <c r="E150" s="216" t="n"/>
      <c r="F150" s="216" t="n"/>
      <c r="G150" s="216" t="n"/>
      <c r="H150" s="216" t="n"/>
      <c r="I150" s="216" t="n"/>
    </row>
    <row r="151">
      <c r="C151" s="216" t="n"/>
      <c r="D151" s="216" t="n"/>
      <c r="E151" s="216" t="n"/>
      <c r="F151" s="216" t="n"/>
      <c r="G151" s="216" t="n"/>
      <c r="H151" s="216" t="n"/>
      <c r="I151" s="216" t="n"/>
    </row>
    <row r="152">
      <c r="C152" s="216" t="n"/>
      <c r="D152" s="216" t="n"/>
      <c r="E152" s="216" t="n"/>
      <c r="F152" s="216" t="n"/>
      <c r="G152" s="216" t="n"/>
      <c r="H152" s="216" t="n"/>
      <c r="I152" s="216" t="n"/>
    </row>
    <row r="153">
      <c r="C153" s="216" t="n"/>
      <c r="D153" s="216" t="n"/>
      <c r="E153" s="216" t="n"/>
      <c r="F153" s="216" t="n"/>
      <c r="G153" s="216" t="n"/>
      <c r="H153" s="216" t="n"/>
      <c r="I153" s="216" t="n"/>
    </row>
    <row r="154">
      <c r="C154" s="216" t="n"/>
      <c r="D154" s="216" t="n"/>
      <c r="E154" s="216" t="n"/>
      <c r="F154" s="216" t="n"/>
      <c r="G154" s="216" t="n"/>
      <c r="H154" s="216" t="n"/>
      <c r="I154" s="216" t="n"/>
    </row>
    <row r="155">
      <c r="C155" s="216" t="n"/>
      <c r="D155" s="216" t="n"/>
      <c r="E155" s="216" t="n"/>
      <c r="F155" s="216" t="n"/>
      <c r="G155" s="216" t="n"/>
      <c r="H155" s="216" t="n"/>
      <c r="I155" s="216" t="n"/>
    </row>
    <row r="156">
      <c r="C156" s="216" t="n"/>
      <c r="D156" s="216" t="n"/>
      <c r="E156" s="216" t="n"/>
      <c r="F156" s="216" t="n"/>
      <c r="G156" s="216" t="n"/>
      <c r="H156" s="216" t="n"/>
      <c r="I156" s="216" t="n"/>
    </row>
    <row r="157">
      <c r="C157" s="216" t="n"/>
      <c r="D157" s="216" t="n"/>
      <c r="E157" s="216" t="n"/>
      <c r="F157" s="216" t="n"/>
      <c r="G157" s="216" t="n"/>
      <c r="H157" s="216" t="n"/>
      <c r="I157" s="216" t="n"/>
    </row>
    <row r="158">
      <c r="C158" s="216" t="n"/>
      <c r="D158" s="216" t="n"/>
      <c r="E158" s="216" t="n"/>
      <c r="F158" s="216" t="n"/>
      <c r="G158" s="216" t="n"/>
      <c r="H158" s="216" t="n"/>
      <c r="I158" s="216" t="n"/>
    </row>
    <row r="159">
      <c r="C159" s="216" t="n"/>
      <c r="D159" s="216" t="n"/>
      <c r="E159" s="216" t="n"/>
      <c r="F159" s="216" t="n"/>
      <c r="G159" s="216" t="n"/>
      <c r="H159" s="216" t="n"/>
      <c r="I159" s="216" t="n"/>
    </row>
    <row r="160">
      <c r="C160" s="216" t="n"/>
      <c r="D160" s="216" t="n"/>
      <c r="E160" s="216" t="n"/>
      <c r="F160" s="216" t="n"/>
      <c r="G160" s="216" t="n"/>
      <c r="H160" s="216" t="n"/>
      <c r="I160" s="216" t="n"/>
    </row>
    <row r="161">
      <c r="C161" s="216" t="n"/>
      <c r="D161" s="216" t="n"/>
      <c r="E161" s="216" t="n"/>
      <c r="F161" s="216" t="n"/>
      <c r="G161" s="216" t="n"/>
      <c r="H161" s="216" t="n"/>
      <c r="I161" s="216" t="n"/>
    </row>
    <row r="162">
      <c r="C162" s="216" t="n"/>
      <c r="D162" s="216" t="n"/>
      <c r="E162" s="216" t="n"/>
      <c r="F162" s="216" t="n"/>
      <c r="G162" s="216" t="n"/>
      <c r="H162" s="216" t="n"/>
      <c r="I162" s="216" t="n"/>
    </row>
    <row r="163">
      <c r="C163" s="216" t="n"/>
      <c r="D163" s="216" t="n"/>
      <c r="E163" s="216" t="n"/>
      <c r="F163" s="216" t="n"/>
      <c r="G163" s="216" t="n"/>
      <c r="H163" s="216" t="n"/>
      <c r="I163" s="216" t="n"/>
    </row>
    <row r="164">
      <c r="C164" s="216" t="n"/>
      <c r="D164" s="216" t="n"/>
      <c r="E164" s="216" t="n"/>
      <c r="F164" s="216" t="n"/>
      <c r="G164" s="216" t="n"/>
      <c r="H164" s="216" t="n"/>
      <c r="I164" s="216" t="n"/>
    </row>
    <row r="165">
      <c r="C165" s="216" t="n"/>
      <c r="D165" s="216" t="n"/>
      <c r="E165" s="216" t="n"/>
      <c r="F165" s="216" t="n"/>
      <c r="G165" s="216" t="n"/>
      <c r="H165" s="216" t="n"/>
      <c r="I165" s="216" t="n"/>
    </row>
    <row r="166">
      <c r="C166" s="216" t="n"/>
      <c r="D166" s="216" t="n"/>
      <c r="E166" s="216" t="n"/>
      <c r="F166" s="216" t="n"/>
      <c r="G166" s="216" t="n"/>
      <c r="H166" s="216" t="n"/>
      <c r="I166" s="216" t="n"/>
    </row>
    <row r="167">
      <c r="C167" s="216" t="n"/>
      <c r="D167" s="216" t="n"/>
      <c r="E167" s="216" t="n"/>
      <c r="F167" s="216" t="n"/>
      <c r="G167" s="216" t="n"/>
      <c r="H167" s="216" t="n"/>
      <c r="I167" s="216" t="n"/>
    </row>
    <row r="168">
      <c r="C168" s="216" t="n"/>
      <c r="D168" s="216" t="n"/>
      <c r="E168" s="216" t="n"/>
      <c r="F168" s="216" t="n"/>
      <c r="G168" s="216" t="n"/>
      <c r="H168" s="216" t="n"/>
      <c r="I168" s="216" t="n"/>
    </row>
    <row r="169">
      <c r="C169" s="216" t="n"/>
      <c r="D169" s="216" t="n"/>
      <c r="E169" s="216" t="n"/>
      <c r="F169" s="216" t="n"/>
      <c r="G169" s="216" t="n"/>
      <c r="H169" s="216" t="n"/>
      <c r="I169" s="216" t="n"/>
    </row>
    <row r="170">
      <c r="C170" s="216" t="n"/>
      <c r="D170" s="216" t="n"/>
      <c r="E170" s="216" t="n"/>
      <c r="F170" s="216" t="n"/>
      <c r="G170" s="216" t="n"/>
      <c r="H170" s="216" t="n"/>
      <c r="I170" s="216" t="n"/>
    </row>
    <row r="171">
      <c r="C171" s="216" t="n"/>
      <c r="D171" s="216" t="n"/>
      <c r="E171" s="216" t="n"/>
      <c r="F171" s="216" t="n"/>
      <c r="G171" s="216" t="n"/>
      <c r="H171" s="216" t="n"/>
      <c r="I171" s="216" t="n"/>
    </row>
    <row r="172">
      <c r="C172" s="216" t="n"/>
      <c r="D172" s="216" t="n"/>
      <c r="E172" s="216" t="n"/>
      <c r="F172" s="216" t="n"/>
      <c r="G172" s="216" t="n"/>
      <c r="H172" s="216" t="n"/>
      <c r="I172" s="216" t="n"/>
    </row>
    <row r="173">
      <c r="C173" s="216" t="n"/>
      <c r="D173" s="216" t="n"/>
      <c r="E173" s="216" t="n"/>
      <c r="F173" s="216" t="n"/>
      <c r="G173" s="216" t="n"/>
      <c r="H173" s="216" t="n"/>
      <c r="I173" s="216" t="n"/>
    </row>
    <row r="174">
      <c r="C174" s="216" t="n"/>
      <c r="D174" s="216" t="n"/>
      <c r="E174" s="216" t="n"/>
      <c r="F174" s="216" t="n"/>
      <c r="G174" s="216" t="n"/>
      <c r="H174" s="216" t="n"/>
      <c r="I174" s="216" t="n"/>
    </row>
    <row r="175">
      <c r="C175" s="216" t="n"/>
      <c r="D175" s="216" t="n"/>
      <c r="E175" s="216" t="n"/>
      <c r="F175" s="216" t="n"/>
      <c r="G175" s="216" t="n"/>
      <c r="H175" s="216" t="n"/>
      <c r="I175" s="216" t="n"/>
    </row>
    <row r="176">
      <c r="C176" s="216" t="n"/>
      <c r="D176" s="216" t="n"/>
      <c r="E176" s="216" t="n"/>
      <c r="F176" s="216" t="n"/>
      <c r="G176" s="216" t="n"/>
      <c r="H176" s="216" t="n"/>
      <c r="I176" s="216" t="n"/>
    </row>
    <row r="177">
      <c r="C177" s="216" t="n"/>
      <c r="D177" s="216" t="n"/>
      <c r="E177" s="216" t="n"/>
      <c r="F177" s="216" t="n"/>
      <c r="G177" s="216" t="n"/>
      <c r="H177" s="216" t="n"/>
      <c r="I177" s="216" t="n"/>
    </row>
    <row r="178">
      <c r="C178" s="216" t="n"/>
      <c r="D178" s="216" t="n"/>
      <c r="E178" s="216" t="n"/>
      <c r="F178" s="216" t="n"/>
      <c r="G178" s="216" t="n"/>
      <c r="H178" s="216" t="n"/>
      <c r="I178" s="216" t="n"/>
    </row>
    <row r="179">
      <c r="C179" s="216" t="n"/>
      <c r="D179" s="216" t="n"/>
      <c r="E179" s="216" t="n"/>
      <c r="F179" s="216" t="n"/>
      <c r="G179" s="216" t="n"/>
      <c r="H179" s="216" t="n"/>
      <c r="I179" s="216" t="n"/>
    </row>
    <row r="180">
      <c r="C180" s="216" t="n"/>
      <c r="D180" s="216" t="n"/>
      <c r="E180" s="216" t="n"/>
      <c r="F180" s="216" t="n"/>
      <c r="G180" s="216" t="n"/>
      <c r="H180" s="216" t="n"/>
      <c r="I180" s="216" t="n"/>
    </row>
    <row r="181">
      <c r="C181" s="216" t="n"/>
      <c r="D181" s="216" t="n"/>
      <c r="E181" s="216" t="n"/>
      <c r="F181" s="216" t="n"/>
      <c r="G181" s="216" t="n"/>
      <c r="H181" s="216" t="n"/>
      <c r="I181" s="216" t="n"/>
    </row>
    <row r="182">
      <c r="C182" s="216" t="n"/>
      <c r="D182" s="216" t="n"/>
      <c r="E182" s="216" t="n"/>
      <c r="F182" s="216" t="n"/>
      <c r="G182" s="216" t="n"/>
      <c r="H182" s="216" t="n"/>
      <c r="I182" s="216" t="n"/>
    </row>
    <row r="183">
      <c r="C183" s="216" t="n"/>
      <c r="D183" s="216" t="n"/>
      <c r="E183" s="216" t="n"/>
      <c r="F183" s="216" t="n"/>
      <c r="G183" s="216" t="n"/>
      <c r="H183" s="216" t="n"/>
      <c r="I183" s="216" t="n"/>
    </row>
    <row r="184">
      <c r="C184" s="216" t="n"/>
      <c r="D184" s="216" t="n"/>
      <c r="E184" s="216" t="n"/>
      <c r="F184" s="216" t="n"/>
      <c r="G184" s="216" t="n"/>
      <c r="H184" s="216" t="n"/>
      <c r="I184" s="216" t="n"/>
    </row>
    <row r="185">
      <c r="C185" s="216" t="n"/>
      <c r="D185" s="216" t="n"/>
      <c r="E185" s="216" t="n"/>
      <c r="F185" s="216" t="n"/>
      <c r="G185" s="216" t="n"/>
      <c r="H185" s="216" t="n"/>
      <c r="I185" s="216" t="n"/>
    </row>
    <row r="186">
      <c r="C186" s="216" t="n"/>
      <c r="D186" s="216" t="n"/>
      <c r="E186" s="216" t="n"/>
      <c r="F186" s="216" t="n"/>
      <c r="G186" s="216" t="n"/>
      <c r="H186" s="216" t="n"/>
      <c r="I186" s="216" t="n"/>
    </row>
    <row r="187">
      <c r="C187" s="216" t="n"/>
      <c r="D187" s="216" t="n"/>
      <c r="E187" s="216" t="n"/>
      <c r="F187" s="216" t="n"/>
      <c r="G187" s="216" t="n"/>
      <c r="H187" s="216" t="n"/>
      <c r="I187" s="216" t="n"/>
    </row>
    <row r="188">
      <c r="C188" s="216" t="n"/>
      <c r="D188" s="216" t="n"/>
      <c r="E188" s="216" t="n"/>
      <c r="F188" s="216" t="n"/>
      <c r="G188" s="216" t="n"/>
      <c r="H188" s="216" t="n"/>
      <c r="I188" s="216" t="n"/>
    </row>
    <row r="189">
      <c r="C189" s="216" t="n"/>
      <c r="D189" s="216" t="n"/>
      <c r="E189" s="216" t="n"/>
      <c r="F189" s="216" t="n"/>
      <c r="G189" s="216" t="n"/>
      <c r="H189" s="216" t="n"/>
      <c r="I189" s="216" t="n"/>
    </row>
    <row r="190">
      <c r="C190" s="216" t="n"/>
      <c r="D190" s="216" t="n"/>
      <c r="E190" s="216" t="n"/>
      <c r="F190" s="216" t="n"/>
      <c r="G190" s="216" t="n"/>
      <c r="H190" s="216" t="n"/>
      <c r="I190" s="216" t="n"/>
    </row>
    <row r="191">
      <c r="C191" s="216" t="n"/>
      <c r="D191" s="216" t="n"/>
      <c r="E191" s="216" t="n"/>
      <c r="F191" s="216" t="n"/>
      <c r="G191" s="216" t="n"/>
      <c r="H191" s="216" t="n"/>
      <c r="I191" s="216" t="n"/>
    </row>
    <row r="192">
      <c r="C192" s="216" t="n"/>
      <c r="D192" s="216" t="n"/>
      <c r="E192" s="216" t="n"/>
      <c r="F192" s="216" t="n"/>
      <c r="G192" s="216" t="n"/>
      <c r="H192" s="216" t="n"/>
      <c r="I192" s="216" t="n"/>
    </row>
    <row r="193">
      <c r="C193" s="216" t="n"/>
      <c r="D193" s="216" t="n"/>
      <c r="E193" s="216" t="n"/>
      <c r="F193" s="216" t="n"/>
      <c r="G193" s="216" t="n"/>
      <c r="H193" s="216" t="n"/>
      <c r="I193" s="216" t="n"/>
    </row>
    <row r="194">
      <c r="C194" s="216" t="n"/>
      <c r="D194" s="216" t="n"/>
      <c r="E194" s="216" t="n"/>
      <c r="F194" s="216" t="n"/>
      <c r="G194" s="216" t="n"/>
      <c r="H194" s="216" t="n"/>
      <c r="I194" s="216" t="n"/>
    </row>
    <row r="195">
      <c r="C195" s="216" t="n"/>
      <c r="D195" s="216" t="n"/>
      <c r="E195" s="216" t="n"/>
      <c r="F195" s="216" t="n"/>
      <c r="G195" s="216" t="n"/>
      <c r="H195" s="216" t="n"/>
      <c r="I195" s="216" t="n"/>
    </row>
    <row r="196">
      <c r="C196" s="216" t="n"/>
      <c r="D196" s="216" t="n"/>
      <c r="E196" s="216" t="n"/>
      <c r="F196" s="216" t="n"/>
      <c r="G196" s="216" t="n"/>
      <c r="H196" s="216" t="n"/>
      <c r="I196" s="216" t="n"/>
    </row>
    <row r="197">
      <c r="C197" s="216" t="n"/>
      <c r="D197" s="216" t="n"/>
      <c r="E197" s="216" t="n"/>
      <c r="F197" s="216" t="n"/>
      <c r="G197" s="216" t="n"/>
      <c r="H197" s="216" t="n"/>
      <c r="I197" s="216" t="n"/>
    </row>
    <row r="198">
      <c r="C198" s="216" t="n"/>
      <c r="D198" s="216" t="n"/>
      <c r="E198" s="216" t="n"/>
      <c r="F198" s="216" t="n"/>
      <c r="G198" s="216" t="n"/>
      <c r="H198" s="216" t="n"/>
      <c r="I198" s="216" t="n"/>
    </row>
    <row r="199">
      <c r="C199" s="216" t="n"/>
      <c r="D199" s="216" t="n"/>
      <c r="E199" s="216" t="n"/>
      <c r="F199" s="216" t="n"/>
      <c r="G199" s="216" t="n"/>
      <c r="H199" s="216" t="n"/>
      <c r="I199" s="216" t="n"/>
    </row>
    <row r="200">
      <c r="C200" s="216" t="n"/>
      <c r="D200" s="216" t="n"/>
      <c r="E200" s="216" t="n"/>
      <c r="F200" s="216" t="n"/>
      <c r="G200" s="216" t="n"/>
      <c r="H200" s="216" t="n"/>
      <c r="I200" s="216" t="n"/>
    </row>
    <row r="201">
      <c r="C201" s="216" t="n"/>
      <c r="D201" s="216" t="n"/>
      <c r="E201" s="216" t="n"/>
      <c r="F201" s="216" t="n"/>
      <c r="G201" s="216" t="n"/>
      <c r="H201" s="216" t="n"/>
      <c r="I201" s="216" t="n"/>
    </row>
    <row r="202">
      <c r="C202" s="216" t="n"/>
      <c r="D202" s="216" t="n"/>
      <c r="E202" s="216" t="n"/>
      <c r="F202" s="216" t="n"/>
      <c r="G202" s="216" t="n"/>
      <c r="H202" s="216" t="n"/>
      <c r="I202" s="216" t="n"/>
    </row>
    <row r="203">
      <c r="C203" s="216" t="n"/>
      <c r="D203" s="216" t="n"/>
      <c r="E203" s="216" t="n"/>
      <c r="F203" s="216" t="n"/>
      <c r="G203" s="216" t="n"/>
      <c r="H203" s="216" t="n"/>
      <c r="I203" s="216" t="n"/>
    </row>
    <row r="204">
      <c r="C204" s="216" t="n"/>
      <c r="D204" s="216" t="n"/>
      <c r="E204" s="216" t="n"/>
      <c r="F204" s="216" t="n"/>
      <c r="G204" s="216" t="n"/>
      <c r="H204" s="216" t="n"/>
      <c r="I204" s="216" t="n"/>
    </row>
    <row r="205">
      <c r="C205" s="216" t="n"/>
      <c r="D205" s="216" t="n"/>
      <c r="E205" s="216" t="n"/>
      <c r="F205" s="216" t="n"/>
      <c r="G205" s="216" t="n"/>
      <c r="H205" s="216" t="n"/>
      <c r="I205" s="216" t="n"/>
    </row>
    <row r="206">
      <c r="C206" s="216" t="n"/>
      <c r="D206" s="216" t="n"/>
      <c r="E206" s="216" t="n"/>
      <c r="F206" s="216" t="n"/>
      <c r="G206" s="216" t="n"/>
      <c r="H206" s="216" t="n"/>
      <c r="I206" s="216" t="n"/>
    </row>
    <row r="207">
      <c r="C207" s="216" t="n"/>
      <c r="D207" s="216" t="n"/>
      <c r="E207" s="216" t="n"/>
      <c r="F207" s="216" t="n"/>
      <c r="G207" s="216" t="n"/>
      <c r="H207" s="216" t="n"/>
      <c r="I207" s="216" t="n"/>
    </row>
    <row r="208">
      <c r="C208" s="216" t="n"/>
      <c r="D208" s="216" t="n"/>
      <c r="E208" s="216" t="n"/>
      <c r="F208" s="216" t="n"/>
      <c r="G208" s="216" t="n"/>
      <c r="H208" s="216" t="n"/>
      <c r="I208" s="216" t="n"/>
    </row>
    <row r="209">
      <c r="C209" s="216" t="n"/>
      <c r="D209" s="216" t="n"/>
      <c r="E209" s="216" t="n"/>
      <c r="F209" s="216" t="n"/>
      <c r="G209" s="216" t="n"/>
      <c r="H209" s="216" t="n"/>
      <c r="I209" s="216" t="n"/>
    </row>
    <row r="210">
      <c r="C210" s="216" t="n"/>
      <c r="D210" s="216" t="n"/>
      <c r="E210" s="216" t="n"/>
      <c r="F210" s="216" t="n"/>
      <c r="G210" s="216" t="n"/>
      <c r="H210" s="216" t="n"/>
      <c r="I210" s="216" t="n"/>
    </row>
    <row r="211">
      <c r="C211" s="216" t="n"/>
      <c r="D211" s="216" t="n"/>
      <c r="E211" s="216" t="n"/>
      <c r="F211" s="216" t="n"/>
      <c r="G211" s="216" t="n"/>
      <c r="H211" s="216" t="n"/>
      <c r="I211" s="216" t="n"/>
    </row>
    <row r="212">
      <c r="C212" s="216" t="n"/>
      <c r="D212" s="216" t="n"/>
      <c r="E212" s="216" t="n"/>
      <c r="F212" s="216" t="n"/>
      <c r="G212" s="216" t="n"/>
      <c r="H212" s="216" t="n"/>
      <c r="I212" s="216" t="n"/>
    </row>
    <row r="213">
      <c r="C213" s="216" t="n"/>
      <c r="D213" s="216" t="n"/>
      <c r="E213" s="216" t="n"/>
      <c r="F213" s="216" t="n"/>
      <c r="G213" s="216" t="n"/>
      <c r="H213" s="216" t="n"/>
      <c r="I213" s="216" t="n"/>
    </row>
    <row r="214">
      <c r="C214" s="216" t="n"/>
      <c r="D214" s="216" t="n"/>
      <c r="E214" s="216" t="n"/>
      <c r="F214" s="216" t="n"/>
      <c r="G214" s="216" t="n"/>
      <c r="H214" s="216" t="n"/>
      <c r="I214" s="216" t="n"/>
    </row>
    <row r="215">
      <c r="C215" s="216" t="n"/>
      <c r="D215" s="216" t="n"/>
      <c r="E215" s="216" t="n"/>
      <c r="F215" s="216" t="n"/>
      <c r="G215" s="216" t="n"/>
      <c r="H215" s="216" t="n"/>
      <c r="I215" s="216" t="n"/>
    </row>
    <row r="216">
      <c r="C216" s="216" t="n"/>
      <c r="D216" s="216" t="n"/>
      <c r="E216" s="216" t="n"/>
      <c r="F216" s="216" t="n"/>
      <c r="G216" s="216" t="n"/>
      <c r="H216" s="216" t="n"/>
      <c r="I216" s="216" t="n"/>
    </row>
    <row r="217">
      <c r="C217" s="216" t="n"/>
      <c r="D217" s="216" t="n"/>
      <c r="E217" s="216" t="n"/>
      <c r="F217" s="216" t="n"/>
      <c r="G217" s="216" t="n"/>
      <c r="H217" s="216" t="n"/>
      <c r="I217" s="216" t="n"/>
    </row>
    <row r="218">
      <c r="C218" s="216" t="n"/>
      <c r="D218" s="216" t="n"/>
      <c r="E218" s="216" t="n"/>
      <c r="F218" s="216" t="n"/>
      <c r="G218" s="216" t="n"/>
      <c r="H218" s="216" t="n"/>
      <c r="I218" s="216" t="n"/>
    </row>
    <row r="219">
      <c r="C219" s="216" t="n"/>
      <c r="D219" s="216" t="n"/>
      <c r="E219" s="216" t="n"/>
      <c r="F219" s="216" t="n"/>
      <c r="G219" s="216" t="n"/>
      <c r="H219" s="216" t="n"/>
      <c r="I219" s="216" t="n"/>
    </row>
    <row r="220">
      <c r="C220" s="216" t="n"/>
      <c r="D220" s="216" t="n"/>
      <c r="E220" s="216" t="n"/>
      <c r="F220" s="216" t="n"/>
      <c r="G220" s="216" t="n"/>
      <c r="H220" s="216" t="n"/>
      <c r="I220" s="216" t="n"/>
    </row>
    <row r="221">
      <c r="C221" s="216" t="n"/>
      <c r="D221" s="216" t="n"/>
      <c r="E221" s="216" t="n"/>
      <c r="F221" s="216" t="n"/>
      <c r="G221" s="216" t="n"/>
      <c r="H221" s="216" t="n"/>
      <c r="I221" s="216" t="n"/>
    </row>
    <row r="222">
      <c r="C222" s="216" t="n"/>
      <c r="D222" s="216" t="n"/>
      <c r="E222" s="216" t="n"/>
      <c r="F222" s="216" t="n"/>
      <c r="G222" s="216" t="n"/>
      <c r="H222" s="216" t="n"/>
      <c r="I222" s="216" t="n"/>
    </row>
    <row r="223">
      <c r="C223" s="216" t="n"/>
      <c r="D223" s="216" t="n"/>
      <c r="E223" s="216" t="n"/>
      <c r="F223" s="216" t="n"/>
      <c r="G223" s="216" t="n"/>
      <c r="H223" s="216" t="n"/>
      <c r="I223" s="216" t="n"/>
    </row>
    <row r="224">
      <c r="C224" s="216" t="n"/>
      <c r="D224" s="216" t="n"/>
      <c r="E224" s="216" t="n"/>
      <c r="F224" s="216" t="n"/>
      <c r="G224" s="216" t="n"/>
      <c r="H224" s="216" t="n"/>
      <c r="I224" s="216" t="n"/>
    </row>
    <row r="225">
      <c r="C225" s="216" t="n"/>
      <c r="D225" s="216" t="n"/>
      <c r="E225" s="216" t="n"/>
      <c r="F225" s="216" t="n"/>
      <c r="G225" s="216" t="n"/>
      <c r="H225" s="216" t="n"/>
      <c r="I225" s="216" t="n"/>
    </row>
    <row r="226">
      <c r="C226" s="216" t="n"/>
      <c r="D226" s="216" t="n"/>
      <c r="E226" s="216" t="n"/>
      <c r="F226" s="216" t="n"/>
      <c r="G226" s="216" t="n"/>
      <c r="H226" s="216" t="n"/>
      <c r="I226" s="216" t="n"/>
    </row>
    <row r="227">
      <c r="C227" s="216" t="n"/>
      <c r="D227" s="216" t="n"/>
      <c r="E227" s="216" t="n"/>
      <c r="F227" s="216" t="n"/>
      <c r="G227" s="216" t="n"/>
      <c r="H227" s="216" t="n"/>
      <c r="I227" s="216" t="n"/>
    </row>
    <row r="228">
      <c r="C228" s="216" t="n"/>
      <c r="D228" s="216" t="n"/>
      <c r="E228" s="216" t="n"/>
      <c r="F228" s="216" t="n"/>
      <c r="G228" s="216" t="n"/>
      <c r="H228" s="216" t="n"/>
      <c r="I228" s="216" t="n"/>
    </row>
    <row r="229">
      <c r="C229" s="216" t="n"/>
      <c r="D229" s="216" t="n"/>
      <c r="E229" s="216" t="n"/>
      <c r="F229" s="216" t="n"/>
      <c r="G229" s="216" t="n"/>
      <c r="H229" s="216" t="n"/>
      <c r="I229" s="216" t="n"/>
    </row>
    <row r="230">
      <c r="C230" s="216" t="n"/>
      <c r="D230" s="216" t="n"/>
      <c r="E230" s="216" t="n"/>
      <c r="F230" s="216" t="n"/>
      <c r="G230" s="216" t="n"/>
      <c r="H230" s="216" t="n"/>
      <c r="I230" s="216" t="n"/>
    </row>
    <row r="231">
      <c r="C231" s="216" t="n"/>
      <c r="D231" s="216" t="n"/>
      <c r="E231" s="216" t="n"/>
      <c r="F231" s="216" t="n"/>
      <c r="G231" s="216" t="n"/>
      <c r="H231" s="216" t="n"/>
      <c r="I231" s="216" t="n"/>
    </row>
    <row r="232">
      <c r="C232" s="216" t="n"/>
      <c r="D232" s="216" t="n"/>
      <c r="E232" s="216" t="n"/>
      <c r="F232" s="216" t="n"/>
      <c r="G232" s="216" t="n"/>
      <c r="H232" s="216" t="n"/>
      <c r="I232" s="216" t="n"/>
    </row>
    <row r="233">
      <c r="C233" s="216" t="n"/>
      <c r="D233" s="216" t="n"/>
      <c r="E233" s="216" t="n"/>
      <c r="F233" s="216" t="n"/>
      <c r="G233" s="216" t="n"/>
      <c r="H233" s="216" t="n"/>
      <c r="I233" s="216" t="n"/>
    </row>
    <row r="234">
      <c r="C234" s="216" t="n"/>
      <c r="D234" s="216" t="n"/>
      <c r="E234" s="216" t="n"/>
      <c r="F234" s="216" t="n"/>
      <c r="G234" s="216" t="n"/>
      <c r="H234" s="216" t="n"/>
      <c r="I234" s="216" t="n"/>
    </row>
    <row r="235">
      <c r="C235" s="216" t="n"/>
      <c r="D235" s="216" t="n"/>
      <c r="E235" s="216" t="n"/>
      <c r="F235" s="216" t="n"/>
      <c r="G235" s="216" t="n"/>
      <c r="H235" s="216" t="n"/>
      <c r="I235" s="216" t="n"/>
    </row>
    <row r="236">
      <c r="C236" s="216" t="n"/>
      <c r="D236" s="216" t="n"/>
      <c r="E236" s="216" t="n"/>
      <c r="F236" s="216" t="n"/>
      <c r="G236" s="216" t="n"/>
      <c r="H236" s="216" t="n"/>
      <c r="I236" s="216" t="n"/>
    </row>
    <row r="237">
      <c r="C237" s="216" t="n"/>
      <c r="D237" s="216" t="n"/>
      <c r="E237" s="216" t="n"/>
      <c r="F237" s="216" t="n"/>
      <c r="G237" s="216" t="n"/>
      <c r="H237" s="216" t="n"/>
      <c r="I237" s="216" t="n"/>
    </row>
    <row r="238">
      <c r="C238" s="216" t="n"/>
      <c r="D238" s="216" t="n"/>
      <c r="E238" s="216" t="n"/>
      <c r="F238" s="216" t="n"/>
      <c r="G238" s="216" t="n"/>
      <c r="H238" s="216" t="n"/>
      <c r="I238" s="216" t="n"/>
    </row>
    <row r="239">
      <c r="C239" s="216" t="n"/>
      <c r="D239" s="216" t="n"/>
      <c r="E239" s="216" t="n"/>
      <c r="F239" s="216" t="n"/>
      <c r="G239" s="216" t="n"/>
      <c r="H239" s="216" t="n"/>
      <c r="I239" s="216" t="n"/>
    </row>
    <row r="240">
      <c r="C240" s="216" t="n"/>
      <c r="D240" s="216" t="n"/>
      <c r="E240" s="216" t="n"/>
      <c r="F240" s="216" t="n"/>
      <c r="G240" s="216" t="n"/>
      <c r="H240" s="216" t="n"/>
      <c r="I240" s="216" t="n"/>
    </row>
    <row r="241">
      <c r="C241" s="216" t="n"/>
      <c r="D241" s="216" t="n"/>
      <c r="E241" s="216" t="n"/>
      <c r="F241" s="216" t="n"/>
      <c r="G241" s="216" t="n"/>
      <c r="H241" s="216" t="n"/>
      <c r="I241" s="216" t="n"/>
    </row>
    <row r="242">
      <c r="C242" s="216" t="n"/>
      <c r="D242" s="216" t="n"/>
      <c r="E242" s="216" t="n"/>
      <c r="F242" s="216" t="n"/>
      <c r="G242" s="216" t="n"/>
      <c r="H242" s="216" t="n"/>
      <c r="I242" s="216" t="n"/>
    </row>
    <row r="243">
      <c r="C243" s="216" t="n"/>
      <c r="D243" s="216" t="n"/>
      <c r="E243" s="216" t="n"/>
      <c r="F243" s="216" t="n"/>
      <c r="G243" s="216" t="n"/>
      <c r="H243" s="216" t="n"/>
      <c r="I243" s="216" t="n"/>
    </row>
    <row r="244">
      <c r="C244" s="216" t="n"/>
      <c r="D244" s="216" t="n"/>
      <c r="E244" s="216" t="n"/>
      <c r="F244" s="216" t="n"/>
      <c r="G244" s="216" t="n"/>
      <c r="H244" s="216" t="n"/>
      <c r="I244" s="216" t="n"/>
    </row>
    <row r="245">
      <c r="C245" s="216" t="n"/>
      <c r="D245" s="216" t="n"/>
      <c r="E245" s="216" t="n"/>
      <c r="F245" s="216" t="n"/>
      <c r="G245" s="216" t="n"/>
      <c r="H245" s="216" t="n"/>
      <c r="I245" s="216" t="n"/>
    </row>
    <row r="246">
      <c r="C246" s="216" t="n"/>
      <c r="D246" s="216" t="n"/>
      <c r="E246" s="216" t="n"/>
      <c r="F246" s="216" t="n"/>
      <c r="G246" s="216" t="n"/>
      <c r="H246" s="216" t="n"/>
      <c r="I246" s="216" t="n"/>
    </row>
    <row r="247">
      <c r="C247" s="216" t="n"/>
      <c r="D247" s="216" t="n"/>
      <c r="E247" s="216" t="n"/>
      <c r="F247" s="216" t="n"/>
      <c r="G247" s="216" t="n"/>
      <c r="H247" s="216" t="n"/>
      <c r="I247" s="216" t="n"/>
    </row>
    <row r="248">
      <c r="C248" s="216" t="n"/>
      <c r="D248" s="216" t="n"/>
      <c r="E248" s="216" t="n"/>
      <c r="F248" s="216" t="n"/>
      <c r="G248" s="216" t="n"/>
      <c r="H248" s="216" t="n"/>
      <c r="I248" s="216" t="n"/>
    </row>
    <row r="249">
      <c r="C249" s="216" t="n"/>
      <c r="D249" s="216" t="n"/>
      <c r="E249" s="216" t="n"/>
      <c r="F249" s="216" t="n"/>
      <c r="G249" s="216" t="n"/>
      <c r="H249" s="216" t="n"/>
      <c r="I249" s="216" t="n"/>
    </row>
    <row r="250">
      <c r="C250" s="216" t="n"/>
      <c r="D250" s="216" t="n"/>
      <c r="E250" s="216" t="n"/>
      <c r="F250" s="216" t="n"/>
      <c r="G250" s="216" t="n"/>
      <c r="H250" s="216" t="n"/>
      <c r="I250" s="216" t="n"/>
    </row>
    <row r="251">
      <c r="C251" s="216" t="n"/>
      <c r="D251" s="216" t="n"/>
      <c r="E251" s="216" t="n"/>
      <c r="F251" s="216" t="n"/>
      <c r="G251" s="216" t="n"/>
      <c r="H251" s="216" t="n"/>
      <c r="I251" s="216" t="n"/>
    </row>
    <row r="252">
      <c r="C252" s="216" t="n"/>
      <c r="D252" s="216" t="n"/>
      <c r="E252" s="216" t="n"/>
      <c r="F252" s="216" t="n"/>
      <c r="G252" s="216" t="n"/>
      <c r="H252" s="216" t="n"/>
      <c r="I252" s="216" t="n"/>
    </row>
    <row r="253">
      <c r="C253" s="216" t="n"/>
      <c r="D253" s="216" t="n"/>
      <c r="E253" s="216" t="n"/>
      <c r="F253" s="216" t="n"/>
      <c r="G253" s="216" t="n"/>
      <c r="H253" s="216" t="n"/>
      <c r="I253" s="216" t="n"/>
    </row>
    <row r="254">
      <c r="C254" s="216" t="n"/>
      <c r="D254" s="216" t="n"/>
      <c r="E254" s="216" t="n"/>
      <c r="F254" s="216" t="n"/>
      <c r="G254" s="216" t="n"/>
      <c r="H254" s="216" t="n"/>
      <c r="I254" s="216" t="n"/>
    </row>
    <row r="255">
      <c r="C255" s="216" t="n"/>
      <c r="D255" s="216" t="n"/>
      <c r="E255" s="216" t="n"/>
      <c r="F255" s="216" t="n"/>
      <c r="G255" s="216" t="n"/>
      <c r="H255" s="216" t="n"/>
      <c r="I255" s="216" t="n"/>
    </row>
    <row r="256">
      <c r="C256" s="216" t="n"/>
      <c r="D256" s="216" t="n"/>
      <c r="E256" s="216" t="n"/>
      <c r="F256" s="216" t="n"/>
      <c r="G256" s="216" t="n"/>
      <c r="H256" s="216" t="n"/>
      <c r="I256" s="216" t="n"/>
    </row>
    <row r="257">
      <c r="C257" s="216" t="n"/>
      <c r="D257" s="216" t="n"/>
      <c r="E257" s="216" t="n"/>
      <c r="F257" s="216" t="n"/>
      <c r="G257" s="216" t="n"/>
      <c r="H257" s="216" t="n"/>
      <c r="I257" s="216" t="n"/>
    </row>
    <row r="258">
      <c r="C258" s="216" t="n"/>
      <c r="D258" s="216" t="n"/>
      <c r="E258" s="216" t="n"/>
      <c r="F258" s="216" t="n"/>
      <c r="G258" s="216" t="n"/>
      <c r="H258" s="216" t="n"/>
      <c r="I258" s="216" t="n"/>
    </row>
    <row r="259">
      <c r="C259" s="216" t="n"/>
      <c r="D259" s="216" t="n"/>
      <c r="E259" s="216" t="n"/>
      <c r="F259" s="216" t="n"/>
      <c r="G259" s="216" t="n"/>
      <c r="H259" s="216" t="n"/>
      <c r="I259" s="216" t="n"/>
    </row>
    <row r="260">
      <c r="C260" s="216" t="n"/>
      <c r="D260" s="216" t="n"/>
      <c r="E260" s="216" t="n"/>
      <c r="F260" s="216" t="n"/>
      <c r="G260" s="216" t="n"/>
      <c r="H260" s="216" t="n"/>
      <c r="I260" s="216" t="n"/>
    </row>
    <row r="261">
      <c r="C261" s="216" t="n"/>
      <c r="D261" s="216" t="n"/>
      <c r="E261" s="216" t="n"/>
      <c r="F261" s="216" t="n"/>
      <c r="G261" s="216" t="n"/>
      <c r="H261" s="216" t="n"/>
      <c r="I261" s="216" t="n"/>
    </row>
    <row r="262">
      <c r="C262" s="216" t="n"/>
      <c r="D262" s="216" t="n"/>
      <c r="E262" s="216" t="n"/>
      <c r="F262" s="216" t="n"/>
      <c r="G262" s="216" t="n"/>
      <c r="H262" s="216" t="n"/>
      <c r="I262" s="216" t="n"/>
    </row>
    <row r="263">
      <c r="C263" s="216" t="n"/>
      <c r="D263" s="216" t="n"/>
      <c r="E263" s="216" t="n"/>
      <c r="F263" s="216" t="n"/>
      <c r="G263" s="216" t="n"/>
      <c r="H263" s="216" t="n"/>
      <c r="I263" s="216" t="n"/>
    </row>
    <row r="264">
      <c r="C264" s="216" t="n"/>
      <c r="D264" s="216" t="n"/>
      <c r="E264" s="216" t="n"/>
      <c r="F264" s="216" t="n"/>
      <c r="G264" s="216" t="n"/>
      <c r="H264" s="216" t="n"/>
      <c r="I264" s="216" t="n"/>
    </row>
    <row r="265">
      <c r="C265" s="216" t="n"/>
      <c r="D265" s="216" t="n"/>
      <c r="E265" s="216" t="n"/>
      <c r="F265" s="216" t="n"/>
      <c r="G265" s="216" t="n"/>
      <c r="H265" s="216" t="n"/>
      <c r="I265" s="216" t="n"/>
    </row>
    <row r="266">
      <c r="C266" s="216" t="n"/>
      <c r="D266" s="216" t="n"/>
      <c r="E266" s="216" t="n"/>
      <c r="F266" s="216" t="n"/>
      <c r="G266" s="216" t="n"/>
      <c r="H266" s="216" t="n"/>
      <c r="I266" s="216" t="n"/>
    </row>
    <row r="267">
      <c r="C267" s="216" t="n"/>
      <c r="D267" s="216" t="n"/>
      <c r="E267" s="216" t="n"/>
      <c r="F267" s="216" t="n"/>
      <c r="G267" s="216" t="n"/>
      <c r="H267" s="216" t="n"/>
      <c r="I267" s="216" t="n"/>
    </row>
    <row r="268">
      <c r="C268" s="216" t="n"/>
      <c r="D268" s="216" t="n"/>
      <c r="E268" s="216" t="n"/>
      <c r="F268" s="216" t="n"/>
      <c r="G268" s="216" t="n"/>
      <c r="H268" s="216" t="n"/>
      <c r="I268" s="216" t="n"/>
    </row>
    <row r="269">
      <c r="C269" s="216" t="n"/>
      <c r="D269" s="216" t="n"/>
      <c r="E269" s="216" t="n"/>
      <c r="F269" s="216" t="n"/>
      <c r="G269" s="216" t="n"/>
      <c r="H269" s="216" t="n"/>
      <c r="I269" s="216" t="n"/>
    </row>
    <row r="270">
      <c r="C270" s="216" t="n"/>
      <c r="D270" s="216" t="n"/>
      <c r="E270" s="216" t="n"/>
      <c r="F270" s="216" t="n"/>
      <c r="G270" s="216" t="n"/>
      <c r="H270" s="216" t="n"/>
      <c r="I270" s="216" t="n"/>
    </row>
    <row r="271">
      <c r="C271" s="216" t="n"/>
      <c r="D271" s="216" t="n"/>
      <c r="E271" s="216" t="n"/>
      <c r="F271" s="216" t="n"/>
      <c r="G271" s="216" t="n"/>
      <c r="H271" s="216" t="n"/>
      <c r="I271" s="216" t="n"/>
    </row>
    <row r="272">
      <c r="C272" s="216" t="n"/>
      <c r="D272" s="216" t="n"/>
      <c r="E272" s="216" t="n"/>
      <c r="F272" s="216" t="n"/>
      <c r="G272" s="216" t="n"/>
      <c r="H272" s="216" t="n"/>
      <c r="I272" s="216" t="n"/>
    </row>
    <row r="273">
      <c r="C273" s="216" t="n"/>
      <c r="D273" s="216" t="n"/>
      <c r="E273" s="216" t="n"/>
      <c r="F273" s="216" t="n"/>
      <c r="G273" s="216" t="n"/>
      <c r="H273" s="216" t="n"/>
      <c r="I273" s="216" t="n"/>
    </row>
    <row r="274">
      <c r="C274" s="216" t="n"/>
      <c r="D274" s="216" t="n"/>
      <c r="E274" s="216" t="n"/>
      <c r="F274" s="216" t="n"/>
      <c r="G274" s="216" t="n"/>
      <c r="H274" s="216" t="n"/>
      <c r="I274" s="216" t="n"/>
    </row>
    <row r="275">
      <c r="C275" s="216" t="n"/>
      <c r="D275" s="216" t="n"/>
      <c r="E275" s="216" t="n"/>
      <c r="F275" s="216" t="n"/>
      <c r="G275" s="216" t="n"/>
      <c r="H275" s="216" t="n"/>
      <c r="I275" s="216" t="n"/>
    </row>
    <row r="276">
      <c r="C276" s="216" t="n"/>
      <c r="D276" s="216" t="n"/>
      <c r="E276" s="216" t="n"/>
      <c r="F276" s="216" t="n"/>
      <c r="G276" s="216" t="n"/>
      <c r="H276" s="216" t="n"/>
      <c r="I276" s="216" t="n"/>
    </row>
    <row r="277">
      <c r="C277" s="216" t="n"/>
      <c r="D277" s="216" t="n"/>
      <c r="E277" s="216" t="n"/>
      <c r="F277" s="216" t="n"/>
      <c r="G277" s="216" t="n"/>
      <c r="H277" s="216" t="n"/>
      <c r="I277" s="216" t="n"/>
    </row>
    <row r="278">
      <c r="C278" s="216" t="n"/>
      <c r="D278" s="216" t="n"/>
      <c r="E278" s="216" t="n"/>
      <c r="F278" s="216" t="n"/>
      <c r="G278" s="216" t="n"/>
      <c r="H278" s="216" t="n"/>
      <c r="I278" s="216" t="n"/>
    </row>
    <row r="279">
      <c r="C279" s="216" t="n"/>
      <c r="D279" s="216" t="n"/>
      <c r="E279" s="216" t="n"/>
      <c r="F279" s="216" t="n"/>
      <c r="G279" s="216" t="n"/>
      <c r="H279" s="216" t="n"/>
      <c r="I279" s="216" t="n"/>
    </row>
    <row r="280">
      <c r="C280" s="216" t="n"/>
      <c r="D280" s="216" t="n"/>
      <c r="E280" s="216" t="n"/>
      <c r="F280" s="216" t="n"/>
      <c r="G280" s="216" t="n"/>
      <c r="H280" s="216" t="n"/>
      <c r="I280" s="216" t="n"/>
    </row>
    <row r="281">
      <c r="C281" s="216" t="n"/>
      <c r="D281" s="216" t="n"/>
      <c r="E281" s="216" t="n"/>
      <c r="F281" s="216" t="n"/>
      <c r="G281" s="216" t="n"/>
      <c r="H281" s="216" t="n"/>
      <c r="I281" s="216" t="n"/>
    </row>
    <row r="282">
      <c r="C282" s="216" t="n"/>
      <c r="D282" s="216" t="n"/>
      <c r="E282" s="216" t="n"/>
      <c r="F282" s="216" t="n"/>
      <c r="G282" s="216" t="n"/>
      <c r="H282" s="216" t="n"/>
      <c r="I282" s="216" t="n"/>
    </row>
    <row r="283">
      <c r="C283" s="216" t="n"/>
      <c r="D283" s="216" t="n"/>
      <c r="E283" s="216" t="n"/>
      <c r="F283" s="216" t="n"/>
      <c r="G283" s="216" t="n"/>
      <c r="H283" s="216" t="n"/>
      <c r="I283" s="216" t="n"/>
    </row>
    <row r="284">
      <c r="C284" s="216" t="n"/>
      <c r="D284" s="216" t="n"/>
      <c r="E284" s="216" t="n"/>
      <c r="F284" s="216" t="n"/>
      <c r="G284" s="216" t="n"/>
      <c r="H284" s="216" t="n"/>
      <c r="I284" s="216" t="n"/>
    </row>
    <row r="285">
      <c r="C285" s="216" t="n"/>
      <c r="D285" s="216" t="n"/>
      <c r="E285" s="216" t="n"/>
      <c r="F285" s="216" t="n"/>
      <c r="G285" s="216" t="n"/>
      <c r="H285" s="216" t="n"/>
      <c r="I285" s="216" t="n"/>
    </row>
    <row r="286">
      <c r="C286" s="216" t="n"/>
      <c r="D286" s="216" t="n"/>
      <c r="E286" s="216" t="n"/>
      <c r="F286" s="216" t="n"/>
      <c r="G286" s="216" t="n"/>
      <c r="H286" s="216" t="n"/>
      <c r="I286" s="216" t="n"/>
    </row>
    <row r="287">
      <c r="C287" s="216" t="n"/>
      <c r="D287" s="216" t="n"/>
      <c r="E287" s="216" t="n"/>
      <c r="F287" s="216" t="n"/>
      <c r="G287" s="216" t="n"/>
      <c r="H287" s="216" t="n"/>
      <c r="I287" s="216" t="n"/>
    </row>
    <row r="288">
      <c r="C288" s="216" t="n"/>
      <c r="D288" s="216" t="n"/>
      <c r="E288" s="216" t="n"/>
      <c r="F288" s="216" t="n"/>
      <c r="G288" s="216" t="n"/>
      <c r="H288" s="216" t="n"/>
      <c r="I288" s="216" t="n"/>
    </row>
    <row r="289">
      <c r="C289" s="216" t="n"/>
      <c r="D289" s="216" t="n"/>
      <c r="E289" s="216" t="n"/>
      <c r="F289" s="216" t="n"/>
      <c r="G289" s="216" t="n"/>
      <c r="H289" s="216" t="n"/>
      <c r="I289" s="216" t="n"/>
    </row>
    <row r="290">
      <c r="C290" s="216" t="n"/>
      <c r="D290" s="216" t="n"/>
      <c r="E290" s="216" t="n"/>
      <c r="F290" s="216" t="n"/>
      <c r="G290" s="216" t="n"/>
      <c r="H290" s="216" t="n"/>
      <c r="I290" s="216" t="n"/>
    </row>
    <row r="291">
      <c r="C291" s="216" t="n"/>
      <c r="D291" s="216" t="n"/>
      <c r="E291" s="216" t="n"/>
      <c r="F291" s="216" t="n"/>
      <c r="G291" s="216" t="n"/>
      <c r="H291" s="216" t="n"/>
      <c r="I291" s="216" t="n"/>
    </row>
    <row r="292">
      <c r="C292" s="216" t="n"/>
      <c r="D292" s="216" t="n"/>
      <c r="E292" s="216" t="n"/>
      <c r="F292" s="216" t="n"/>
      <c r="G292" s="216" t="n"/>
      <c r="H292" s="216" t="n"/>
      <c r="I292" s="216" t="n"/>
    </row>
    <row r="293">
      <c r="C293" s="216" t="n"/>
      <c r="D293" s="216" t="n"/>
      <c r="E293" s="216" t="n"/>
      <c r="F293" s="216" t="n"/>
      <c r="G293" s="216" t="n"/>
      <c r="H293" s="216" t="n"/>
      <c r="I293" s="216" t="n"/>
    </row>
    <row r="294">
      <c r="C294" s="216" t="n"/>
      <c r="D294" s="216" t="n"/>
      <c r="E294" s="216" t="n"/>
      <c r="F294" s="216" t="n"/>
      <c r="G294" s="216" t="n"/>
      <c r="H294" s="216" t="n"/>
      <c r="I294" s="216" t="n"/>
    </row>
    <row r="295">
      <c r="C295" s="216" t="n"/>
      <c r="D295" s="216" t="n"/>
      <c r="E295" s="216" t="n"/>
      <c r="F295" s="216" t="n"/>
      <c r="G295" s="216" t="n"/>
      <c r="H295" s="216" t="n"/>
      <c r="I295" s="216" t="n"/>
    </row>
    <row r="296">
      <c r="C296" s="216" t="n"/>
      <c r="D296" s="216" t="n"/>
      <c r="E296" s="216" t="n"/>
      <c r="F296" s="216" t="n"/>
      <c r="G296" s="216" t="n"/>
      <c r="H296" s="216" t="n"/>
      <c r="I296" s="216" t="n"/>
    </row>
    <row r="297">
      <c r="C297" s="216" t="n"/>
      <c r="D297" s="216" t="n"/>
      <c r="E297" s="216" t="n"/>
      <c r="F297" s="216" t="n"/>
      <c r="G297" s="216" t="n"/>
      <c r="H297" s="216" t="n"/>
      <c r="I297" s="216" t="n"/>
    </row>
    <row r="298">
      <c r="C298" s="216" t="n"/>
      <c r="D298" s="216" t="n"/>
      <c r="E298" s="216" t="n"/>
      <c r="F298" s="216" t="n"/>
      <c r="G298" s="216" t="n"/>
      <c r="H298" s="216" t="n"/>
      <c r="I298" s="216" t="n"/>
    </row>
    <row r="299">
      <c r="C299" s="216" t="n"/>
      <c r="D299" s="216" t="n"/>
      <c r="E299" s="216" t="n"/>
      <c r="F299" s="216" t="n"/>
      <c r="G299" s="216" t="n"/>
      <c r="H299" s="216" t="n"/>
      <c r="I299" s="216" t="n"/>
    </row>
    <row r="300">
      <c r="C300" s="216" t="n"/>
      <c r="D300" s="216" t="n"/>
      <c r="E300" s="216" t="n"/>
      <c r="F300" s="216" t="n"/>
      <c r="G300" s="216" t="n"/>
      <c r="H300" s="216" t="n"/>
      <c r="I300" s="216" t="n"/>
    </row>
    <row r="301">
      <c r="C301" s="216" t="n"/>
      <c r="D301" s="216" t="n"/>
      <c r="E301" s="216" t="n"/>
      <c r="F301" s="216" t="n"/>
      <c r="G301" s="216" t="n"/>
      <c r="H301" s="216" t="n"/>
      <c r="I301" s="216" t="n"/>
    </row>
    <row r="302">
      <c r="C302" s="216" t="n"/>
      <c r="D302" s="216" t="n"/>
      <c r="E302" s="216" t="n"/>
      <c r="F302" s="216" t="n"/>
      <c r="G302" s="216" t="n"/>
      <c r="H302" s="216" t="n"/>
      <c r="I302" s="216" t="n"/>
    </row>
    <row r="303">
      <c r="C303" s="216" t="n"/>
      <c r="D303" s="216" t="n"/>
      <c r="E303" s="216" t="n"/>
      <c r="F303" s="216" t="n"/>
      <c r="G303" s="216" t="n"/>
      <c r="H303" s="216" t="n"/>
      <c r="I303" s="216" t="n"/>
    </row>
    <row r="304">
      <c r="C304" s="216" t="n"/>
      <c r="D304" s="216" t="n"/>
      <c r="E304" s="216" t="n"/>
      <c r="F304" s="216" t="n"/>
      <c r="G304" s="216" t="n"/>
      <c r="H304" s="216" t="n"/>
      <c r="I304" s="216" t="n"/>
    </row>
    <row r="305">
      <c r="C305" s="216" t="n"/>
      <c r="D305" s="216" t="n"/>
      <c r="E305" s="216" t="n"/>
      <c r="F305" s="216" t="n"/>
      <c r="G305" s="216" t="n"/>
      <c r="H305" s="216" t="n"/>
      <c r="I305" s="216" t="n"/>
    </row>
    <row r="306">
      <c r="C306" s="216" t="n"/>
      <c r="D306" s="216" t="n"/>
      <c r="E306" s="216" t="n"/>
      <c r="F306" s="216" t="n"/>
      <c r="G306" s="216" t="n"/>
      <c r="H306" s="216" t="n"/>
      <c r="I306" s="216" t="n"/>
    </row>
    <row r="307">
      <c r="C307" s="216" t="n"/>
      <c r="D307" s="216" t="n"/>
      <c r="E307" s="216" t="n"/>
      <c r="F307" s="216" t="n"/>
      <c r="G307" s="216" t="n"/>
      <c r="H307" s="216" t="n"/>
      <c r="I307" s="216" t="n"/>
    </row>
    <row r="308">
      <c r="C308" s="216" t="n"/>
      <c r="D308" s="216" t="n"/>
      <c r="E308" s="216" t="n"/>
      <c r="F308" s="216" t="n"/>
      <c r="G308" s="216" t="n"/>
      <c r="H308" s="216" t="n"/>
      <c r="I308" s="216" t="n"/>
    </row>
    <row r="309">
      <c r="C309" s="216" t="n"/>
      <c r="D309" s="216" t="n"/>
      <c r="E309" s="216" t="n"/>
      <c r="F309" s="216" t="n"/>
      <c r="G309" s="216" t="n"/>
      <c r="H309" s="216" t="n"/>
      <c r="I309" s="216" t="n"/>
    </row>
    <row r="310">
      <c r="C310" s="216" t="n"/>
      <c r="D310" s="216" t="n"/>
      <c r="E310" s="216" t="n"/>
      <c r="F310" s="216" t="n"/>
      <c r="G310" s="216" t="n"/>
      <c r="H310" s="216" t="n"/>
      <c r="I310" s="216" t="n"/>
    </row>
    <row r="311">
      <c r="C311" s="216" t="n"/>
      <c r="D311" s="216" t="n"/>
      <c r="E311" s="216" t="n"/>
      <c r="F311" s="216" t="n"/>
      <c r="G311" s="216" t="n"/>
      <c r="H311" s="216" t="n"/>
      <c r="I311" s="216" t="n"/>
    </row>
    <row r="312">
      <c r="C312" s="216" t="n"/>
      <c r="D312" s="216" t="n"/>
      <c r="E312" s="216" t="n"/>
      <c r="F312" s="216" t="n"/>
      <c r="G312" s="216" t="n"/>
      <c r="H312" s="216" t="n"/>
      <c r="I312" s="216" t="n"/>
    </row>
    <row r="313">
      <c r="C313" s="216" t="n"/>
      <c r="D313" s="216" t="n"/>
      <c r="E313" s="216" t="n"/>
      <c r="F313" s="216" t="n"/>
      <c r="G313" s="216" t="n"/>
      <c r="H313" s="216" t="n"/>
      <c r="I313" s="216" t="n"/>
    </row>
    <row r="314">
      <c r="C314" s="216" t="n"/>
      <c r="D314" s="216" t="n"/>
      <c r="E314" s="216" t="n"/>
      <c r="F314" s="216" t="n"/>
      <c r="G314" s="216" t="n"/>
      <c r="H314" s="216" t="n"/>
      <c r="I314" s="216" t="n"/>
    </row>
    <row r="315">
      <c r="C315" s="216" t="n"/>
      <c r="D315" s="216" t="n"/>
      <c r="E315" s="216" t="n"/>
      <c r="F315" s="216" t="n"/>
      <c r="G315" s="216" t="n"/>
      <c r="H315" s="216" t="n"/>
      <c r="I315" s="216" t="n"/>
    </row>
    <row r="316">
      <c r="C316" s="216" t="n"/>
      <c r="D316" s="216" t="n"/>
      <c r="E316" s="216" t="n"/>
      <c r="F316" s="216" t="n"/>
      <c r="G316" s="216" t="n"/>
      <c r="H316" s="216" t="n"/>
      <c r="I316" s="216" t="n"/>
    </row>
    <row r="317">
      <c r="C317" s="216" t="n"/>
      <c r="D317" s="216" t="n"/>
      <c r="E317" s="216" t="n"/>
      <c r="F317" s="216" t="n"/>
      <c r="G317" s="216" t="n"/>
      <c r="H317" s="216" t="n"/>
      <c r="I317" s="216" t="n"/>
    </row>
    <row r="318">
      <c r="C318" s="216" t="n"/>
      <c r="D318" s="216" t="n"/>
      <c r="E318" s="216" t="n"/>
      <c r="F318" s="216" t="n"/>
      <c r="G318" s="216" t="n"/>
      <c r="H318" s="216" t="n"/>
      <c r="I318" s="216" t="n"/>
    </row>
    <row r="319">
      <c r="C319" s="216" t="n"/>
      <c r="D319" s="216" t="n"/>
      <c r="E319" s="216" t="n"/>
      <c r="F319" s="216" t="n"/>
      <c r="G319" s="216" t="n"/>
      <c r="H319" s="216" t="n"/>
      <c r="I319" s="216" t="n"/>
    </row>
    <row r="320">
      <c r="C320" s="216" t="n"/>
      <c r="D320" s="216" t="n"/>
      <c r="E320" s="216" t="n"/>
      <c r="F320" s="216" t="n"/>
      <c r="G320" s="216" t="n"/>
      <c r="H320" s="216" t="n"/>
      <c r="I320" s="216" t="n"/>
    </row>
    <row r="321">
      <c r="C321" s="216" t="n"/>
      <c r="D321" s="216" t="n"/>
      <c r="E321" s="216" t="n"/>
      <c r="F321" s="216" t="n"/>
      <c r="G321" s="216" t="n"/>
      <c r="H321" s="216" t="n"/>
      <c r="I321" s="216" t="n"/>
    </row>
    <row r="322">
      <c r="C322" s="216" t="n"/>
      <c r="D322" s="216" t="n"/>
      <c r="E322" s="216" t="n"/>
      <c r="F322" s="216" t="n"/>
      <c r="G322" s="216" t="n"/>
      <c r="H322" s="216" t="n"/>
      <c r="I322" s="216" t="n"/>
    </row>
    <row r="323">
      <c r="C323" s="216" t="n"/>
      <c r="D323" s="216" t="n"/>
      <c r="E323" s="216" t="n"/>
      <c r="F323" s="216" t="n"/>
      <c r="G323" s="216" t="n"/>
      <c r="H323" s="216" t="n"/>
      <c r="I323" s="216" t="n"/>
    </row>
    <row r="324">
      <c r="C324" s="216" t="n"/>
      <c r="D324" s="216" t="n"/>
      <c r="E324" s="216" t="n"/>
      <c r="F324" s="216" t="n"/>
      <c r="G324" s="216" t="n"/>
      <c r="H324" s="216" t="n"/>
      <c r="I324" s="216" t="n"/>
    </row>
    <row r="325">
      <c r="C325" s="216" t="n"/>
      <c r="D325" s="216" t="n"/>
      <c r="E325" s="216" t="n"/>
      <c r="F325" s="216" t="n"/>
      <c r="G325" s="216" t="n"/>
      <c r="H325" s="216" t="n"/>
      <c r="I325" s="216" t="n"/>
    </row>
    <row r="326">
      <c r="C326" s="216" t="n"/>
      <c r="D326" s="216" t="n"/>
      <c r="E326" s="216" t="n"/>
      <c r="F326" s="216" t="n"/>
      <c r="G326" s="216" t="n"/>
      <c r="H326" s="216" t="n"/>
      <c r="I326" s="216" t="n"/>
    </row>
    <row r="327">
      <c r="C327" s="216" t="n"/>
      <c r="D327" s="216" t="n"/>
      <c r="E327" s="216" t="n"/>
      <c r="F327" s="216" t="n"/>
      <c r="G327" s="216" t="n"/>
      <c r="H327" s="216" t="n"/>
      <c r="I327" s="216" t="n"/>
    </row>
    <row r="328">
      <c r="C328" s="216" t="n"/>
      <c r="D328" s="216" t="n"/>
      <c r="E328" s="216" t="n"/>
      <c r="F328" s="216" t="n"/>
      <c r="G328" s="216" t="n"/>
      <c r="H328" s="216" t="n"/>
      <c r="I328" s="216" t="n"/>
    </row>
    <row r="329">
      <c r="C329" s="216" t="n"/>
      <c r="D329" s="216" t="n"/>
      <c r="E329" s="216" t="n"/>
      <c r="F329" s="216" t="n"/>
      <c r="G329" s="216" t="n"/>
      <c r="H329" s="216" t="n"/>
      <c r="I329" s="216" t="n"/>
    </row>
    <row r="330">
      <c r="C330" s="216" t="n"/>
      <c r="D330" s="216" t="n"/>
      <c r="E330" s="216" t="n"/>
      <c r="F330" s="216" t="n"/>
      <c r="G330" s="216" t="n"/>
      <c r="H330" s="216" t="n"/>
      <c r="I330" s="216" t="n"/>
    </row>
    <row r="331">
      <c r="C331" s="216" t="n"/>
      <c r="D331" s="216" t="n"/>
      <c r="E331" s="216" t="n"/>
      <c r="F331" s="216" t="n"/>
      <c r="G331" s="216" t="n"/>
      <c r="H331" s="216" t="n"/>
      <c r="I331" s="216" t="n"/>
    </row>
    <row r="332">
      <c r="C332" s="216" t="n"/>
      <c r="D332" s="216" t="n"/>
      <c r="E332" s="216" t="n"/>
      <c r="F332" s="216" t="n"/>
      <c r="G332" s="216" t="n"/>
      <c r="H332" s="216" t="n"/>
      <c r="I332" s="216" t="n"/>
    </row>
    <row r="333">
      <c r="C333" s="216" t="n"/>
      <c r="D333" s="216" t="n"/>
      <c r="E333" s="216" t="n"/>
      <c r="F333" s="216" t="n"/>
      <c r="G333" s="216" t="n"/>
      <c r="H333" s="216" t="n"/>
      <c r="I333" s="216" t="n"/>
    </row>
    <row r="334">
      <c r="C334" s="216" t="n"/>
      <c r="D334" s="216" t="n"/>
      <c r="E334" s="216" t="n"/>
      <c r="F334" s="216" t="n"/>
      <c r="G334" s="216" t="n"/>
      <c r="H334" s="216" t="n"/>
      <c r="I334" s="216" t="n"/>
    </row>
    <row r="335">
      <c r="C335" s="216" t="n"/>
      <c r="D335" s="216" t="n"/>
      <c r="E335" s="216" t="n"/>
      <c r="F335" s="216" t="n"/>
      <c r="G335" s="216" t="n"/>
      <c r="H335" s="216" t="n"/>
      <c r="I335" s="216" t="n"/>
    </row>
    <row r="336">
      <c r="C336" s="216" t="n"/>
      <c r="D336" s="216" t="n"/>
      <c r="E336" s="216" t="n"/>
      <c r="F336" s="216" t="n"/>
      <c r="G336" s="216" t="n"/>
      <c r="H336" s="216" t="n"/>
      <c r="I336" s="216" t="n"/>
    </row>
    <row r="337">
      <c r="C337" s="216" t="n"/>
      <c r="D337" s="216" t="n"/>
      <c r="E337" s="216" t="n"/>
      <c r="F337" s="216" t="n"/>
      <c r="G337" s="216" t="n"/>
      <c r="H337" s="216" t="n"/>
      <c r="I337" s="216" t="n"/>
    </row>
    <row r="338">
      <c r="C338" s="216" t="n"/>
      <c r="D338" s="216" t="n"/>
      <c r="E338" s="216" t="n"/>
      <c r="F338" s="216" t="n"/>
      <c r="G338" s="216" t="n"/>
      <c r="H338" s="216" t="n"/>
      <c r="I338" s="216" t="n"/>
    </row>
    <row r="339">
      <c r="C339" s="216" t="n"/>
      <c r="D339" s="216" t="n"/>
      <c r="E339" s="216" t="n"/>
      <c r="F339" s="216" t="n"/>
      <c r="G339" s="216" t="n"/>
      <c r="H339" s="216" t="n"/>
      <c r="I339" s="216" t="n"/>
    </row>
    <row r="340">
      <c r="C340" s="216" t="n"/>
      <c r="D340" s="216" t="n"/>
      <c r="E340" s="216" t="n"/>
      <c r="F340" s="216" t="n"/>
      <c r="G340" s="216" t="n"/>
      <c r="H340" s="216" t="n"/>
      <c r="I340" s="216" t="n"/>
    </row>
    <row r="341">
      <c r="C341" s="216" t="n"/>
      <c r="D341" s="216" t="n"/>
      <c r="E341" s="216" t="n"/>
      <c r="F341" s="216" t="n"/>
      <c r="G341" s="216" t="n"/>
      <c r="H341" s="216" t="n"/>
      <c r="I341" s="216" t="n"/>
    </row>
    <row r="342">
      <c r="C342" s="216" t="n"/>
      <c r="D342" s="216" t="n"/>
      <c r="E342" s="216" t="n"/>
      <c r="F342" s="216" t="n"/>
      <c r="G342" s="216" t="n"/>
      <c r="H342" s="216" t="n"/>
      <c r="I342" s="216" t="n"/>
    </row>
    <row r="343">
      <c r="C343" s="216" t="n"/>
      <c r="D343" s="216" t="n"/>
      <c r="E343" s="216" t="n"/>
      <c r="F343" s="216" t="n"/>
      <c r="G343" s="216" t="n"/>
      <c r="H343" s="216" t="n"/>
      <c r="I343" s="216" t="n"/>
    </row>
    <row r="344">
      <c r="C344" s="216" t="n"/>
      <c r="D344" s="216" t="n"/>
      <c r="E344" s="216" t="n"/>
      <c r="F344" s="216" t="n"/>
      <c r="G344" s="216" t="n"/>
      <c r="H344" s="216" t="n"/>
      <c r="I344" s="216" t="n"/>
    </row>
    <row r="345">
      <c r="C345" s="216" t="n"/>
      <c r="D345" s="216" t="n"/>
      <c r="E345" s="216" t="n"/>
      <c r="F345" s="216" t="n"/>
      <c r="G345" s="216" t="n"/>
      <c r="H345" s="216" t="n"/>
      <c r="I345" s="216" t="n"/>
    </row>
    <row r="346">
      <c r="C346" s="216" t="n"/>
      <c r="D346" s="216" t="n"/>
      <c r="E346" s="216" t="n"/>
      <c r="F346" s="216" t="n"/>
      <c r="G346" s="216" t="n"/>
      <c r="H346" s="216" t="n"/>
      <c r="I346" s="216" t="n"/>
    </row>
    <row r="347">
      <c r="C347" s="216" t="n"/>
      <c r="D347" s="216" t="n"/>
      <c r="E347" s="216" t="n"/>
      <c r="F347" s="216" t="n"/>
      <c r="G347" s="216" t="n"/>
      <c r="H347" s="216" t="n"/>
      <c r="I347" s="216" t="n"/>
    </row>
    <row r="348">
      <c r="C348" s="216" t="n"/>
      <c r="D348" s="216" t="n"/>
      <c r="E348" s="216" t="n"/>
      <c r="F348" s="216" t="n"/>
      <c r="G348" s="216" t="n"/>
      <c r="H348" s="216" t="n"/>
      <c r="I348" s="216" t="n"/>
    </row>
    <row r="349">
      <c r="C349" s="216" t="n"/>
      <c r="D349" s="216" t="n"/>
      <c r="E349" s="216" t="n"/>
      <c r="F349" s="216" t="n"/>
      <c r="G349" s="216" t="n"/>
      <c r="H349" s="216" t="n"/>
      <c r="I349" s="216" t="n"/>
    </row>
    <row r="350">
      <c r="C350" s="216" t="n"/>
      <c r="D350" s="216" t="n"/>
      <c r="E350" s="216" t="n"/>
      <c r="F350" s="216" t="n"/>
      <c r="G350" s="216" t="n"/>
      <c r="H350" s="216" t="n"/>
      <c r="I350" s="216" t="n"/>
    </row>
    <row r="351">
      <c r="C351" s="216" t="n"/>
      <c r="D351" s="216" t="n"/>
      <c r="E351" s="216" t="n"/>
      <c r="F351" s="216" t="n"/>
      <c r="G351" s="216" t="n"/>
      <c r="H351" s="216" t="n"/>
      <c r="I351" s="216" t="n"/>
    </row>
    <row r="352">
      <c r="C352" s="216" t="n"/>
      <c r="D352" s="216" t="n"/>
      <c r="E352" s="216" t="n"/>
      <c r="F352" s="216" t="n"/>
      <c r="G352" s="216" t="n"/>
      <c r="H352" s="216" t="n"/>
      <c r="I352" s="216" t="n"/>
    </row>
    <row r="353">
      <c r="C353" s="216" t="n"/>
      <c r="D353" s="216" t="n"/>
      <c r="E353" s="216" t="n"/>
      <c r="F353" s="216" t="n"/>
      <c r="G353" s="216" t="n"/>
      <c r="H353" s="216" t="n"/>
      <c r="I353" s="216" t="n"/>
    </row>
    <row r="354">
      <c r="C354" s="216" t="n"/>
      <c r="D354" s="216" t="n"/>
      <c r="E354" s="216" t="n"/>
      <c r="F354" s="216" t="n"/>
      <c r="G354" s="216" t="n"/>
      <c r="H354" s="216" t="n"/>
      <c r="I354" s="216" t="n"/>
    </row>
    <row r="355">
      <c r="C355" s="216" t="n"/>
      <c r="D355" s="216" t="n"/>
      <c r="E355" s="216" t="n"/>
      <c r="F355" s="216" t="n"/>
      <c r="G355" s="216" t="n"/>
      <c r="H355" s="216" t="n"/>
      <c r="I355" s="216" t="n"/>
    </row>
    <row r="356">
      <c r="C356" s="216" t="n"/>
      <c r="D356" s="216" t="n"/>
      <c r="E356" s="216" t="n"/>
      <c r="F356" s="216" t="n"/>
      <c r="G356" s="216" t="n"/>
      <c r="H356" s="216" t="n"/>
      <c r="I356" s="216" t="n"/>
    </row>
    <row r="357">
      <c r="C357" s="216" t="n"/>
      <c r="D357" s="216" t="n"/>
      <c r="E357" s="216" t="n"/>
      <c r="F357" s="216" t="n"/>
      <c r="G357" s="216" t="n"/>
      <c r="H357" s="216" t="n"/>
      <c r="I357" s="216" t="n"/>
    </row>
    <row r="358">
      <c r="C358" s="216" t="n"/>
      <c r="D358" s="216" t="n"/>
      <c r="E358" s="216" t="n"/>
      <c r="F358" s="216" t="n"/>
      <c r="G358" s="216" t="n"/>
      <c r="H358" s="216" t="n"/>
      <c r="I358" s="216" t="n"/>
    </row>
    <row r="359">
      <c r="C359" s="216" t="n"/>
      <c r="D359" s="216" t="n"/>
      <c r="E359" s="216" t="n"/>
      <c r="F359" s="216" t="n"/>
      <c r="G359" s="216" t="n"/>
      <c r="H359" s="216" t="n"/>
      <c r="I359" s="216" t="n"/>
    </row>
    <row r="360">
      <c r="C360" s="216" t="n"/>
      <c r="D360" s="216" t="n"/>
      <c r="E360" s="216" t="n"/>
      <c r="F360" s="216" t="n"/>
      <c r="G360" s="216" t="n"/>
      <c r="H360" s="216" t="n"/>
      <c r="I360" s="216" t="n"/>
    </row>
    <row r="361">
      <c r="C361" s="216" t="n"/>
      <c r="D361" s="216" t="n"/>
      <c r="E361" s="216" t="n"/>
      <c r="F361" s="216" t="n"/>
      <c r="G361" s="216" t="n"/>
      <c r="H361" s="216" t="n"/>
      <c r="I361" s="216" t="n"/>
    </row>
    <row r="362">
      <c r="C362" s="216" t="n"/>
      <c r="D362" s="216" t="n"/>
      <c r="E362" s="216" t="n"/>
      <c r="F362" s="216" t="n"/>
      <c r="G362" s="216" t="n"/>
      <c r="H362" s="216" t="n"/>
      <c r="I362" s="216" t="n"/>
    </row>
    <row r="363">
      <c r="C363" s="216" t="n"/>
      <c r="D363" s="216" t="n"/>
      <c r="E363" s="216" t="n"/>
      <c r="F363" s="216" t="n"/>
      <c r="G363" s="216" t="n"/>
      <c r="H363" s="216" t="n"/>
      <c r="I363" s="216" t="n"/>
    </row>
    <row r="364">
      <c r="C364" s="216" t="n"/>
      <c r="D364" s="216" t="n"/>
      <c r="E364" s="216" t="n"/>
      <c r="F364" s="216" t="n"/>
      <c r="G364" s="216" t="n"/>
      <c r="H364" s="216" t="n"/>
      <c r="I364" s="216" t="n"/>
    </row>
    <row r="365">
      <c r="C365" s="216" t="n"/>
      <c r="D365" s="216" t="n"/>
      <c r="E365" s="216" t="n"/>
      <c r="F365" s="216" t="n"/>
      <c r="G365" s="216" t="n"/>
      <c r="H365" s="216" t="n"/>
      <c r="I365" s="216" t="n"/>
    </row>
    <row r="366">
      <c r="C366" s="216" t="n"/>
      <c r="D366" s="216" t="n"/>
      <c r="E366" s="216" t="n"/>
      <c r="F366" s="216" t="n"/>
      <c r="G366" s="216" t="n"/>
      <c r="H366" s="216" t="n"/>
      <c r="I366" s="216" t="n"/>
    </row>
    <row r="367">
      <c r="C367" s="216" t="n"/>
      <c r="D367" s="216" t="n"/>
      <c r="E367" s="216" t="n"/>
      <c r="F367" s="216" t="n"/>
      <c r="G367" s="216" t="n"/>
      <c r="H367" s="216" t="n"/>
      <c r="I367" s="216" t="n"/>
    </row>
    <row r="368">
      <c r="C368" s="216" t="n"/>
      <c r="D368" s="216" t="n"/>
      <c r="E368" s="216" t="n"/>
      <c r="F368" s="216" t="n"/>
      <c r="G368" s="216" t="n"/>
      <c r="H368" s="216" t="n"/>
      <c r="I368" s="216" t="n"/>
    </row>
    <row r="369">
      <c r="C369" s="216" t="n"/>
      <c r="D369" s="216" t="n"/>
      <c r="E369" s="216" t="n"/>
      <c r="F369" s="216" t="n"/>
      <c r="G369" s="216" t="n"/>
      <c r="H369" s="216" t="n"/>
      <c r="I369" s="216" t="n"/>
    </row>
    <row r="370">
      <c r="C370" s="216" t="n"/>
      <c r="D370" s="216" t="n"/>
      <c r="E370" s="216" t="n"/>
      <c r="F370" s="216" t="n"/>
      <c r="G370" s="216" t="n"/>
      <c r="H370" s="216" t="n"/>
      <c r="I370" s="216" t="n"/>
    </row>
    <row r="371">
      <c r="C371" s="216" t="n"/>
      <c r="D371" s="216" t="n"/>
      <c r="E371" s="216" t="n"/>
      <c r="F371" s="216" t="n"/>
      <c r="G371" s="216" t="n"/>
      <c r="H371" s="216" t="n"/>
      <c r="I371" s="216" t="n"/>
    </row>
    <row r="372">
      <c r="C372" s="216" t="n"/>
      <c r="D372" s="216" t="n"/>
      <c r="E372" s="216" t="n"/>
      <c r="F372" s="216" t="n"/>
      <c r="G372" s="216" t="n"/>
      <c r="H372" s="216" t="n"/>
      <c r="I372" s="216" t="n"/>
    </row>
    <row r="373">
      <c r="C373" s="216" t="n"/>
      <c r="D373" s="216" t="n"/>
      <c r="E373" s="216" t="n"/>
      <c r="F373" s="216" t="n"/>
      <c r="G373" s="216" t="n"/>
      <c r="H373" s="216" t="n"/>
      <c r="I373" s="216" t="n"/>
    </row>
    <row r="374">
      <c r="C374" s="216" t="n"/>
      <c r="D374" s="216" t="n"/>
      <c r="E374" s="216" t="n"/>
      <c r="F374" s="216" t="n"/>
      <c r="G374" s="216" t="n"/>
      <c r="H374" s="216" t="n"/>
      <c r="I374" s="216" t="n"/>
    </row>
    <row r="375">
      <c r="C375" s="216" t="n"/>
      <c r="D375" s="216" t="n"/>
      <c r="E375" s="216" t="n"/>
      <c r="F375" s="216" t="n"/>
      <c r="G375" s="216" t="n"/>
      <c r="H375" s="216" t="n"/>
      <c r="I375" s="216" t="n"/>
    </row>
    <row r="376">
      <c r="C376" s="216" t="n"/>
      <c r="D376" s="216" t="n"/>
      <c r="E376" s="216" t="n"/>
      <c r="F376" s="216" t="n"/>
      <c r="G376" s="216" t="n"/>
      <c r="H376" s="216" t="n"/>
      <c r="I376" s="216" t="n"/>
    </row>
    <row r="377">
      <c r="C377" s="216" t="n"/>
      <c r="D377" s="216" t="n"/>
      <c r="E377" s="216" t="n"/>
      <c r="F377" s="216" t="n"/>
      <c r="G377" s="216" t="n"/>
      <c r="H377" s="216" t="n"/>
      <c r="I377" s="216" t="n"/>
    </row>
    <row r="378">
      <c r="C378" s="216" t="n"/>
      <c r="D378" s="216" t="n"/>
      <c r="E378" s="216" t="n"/>
      <c r="F378" s="216" t="n"/>
      <c r="G378" s="216" t="n"/>
      <c r="H378" s="216" t="n"/>
      <c r="I378" s="216" t="n"/>
    </row>
    <row r="379">
      <c r="C379" s="216" t="n"/>
      <c r="D379" s="216" t="n"/>
      <c r="E379" s="216" t="n"/>
      <c r="F379" s="216" t="n"/>
      <c r="G379" s="216" t="n"/>
      <c r="H379" s="216" t="n"/>
      <c r="I379" s="216" t="n"/>
    </row>
    <row r="380">
      <c r="C380" s="216" t="n"/>
      <c r="D380" s="216" t="n"/>
      <c r="E380" s="216" t="n"/>
      <c r="F380" s="216" t="n"/>
      <c r="G380" s="216" t="n"/>
      <c r="H380" s="216" t="n"/>
      <c r="I380" s="216" t="n"/>
    </row>
    <row r="381">
      <c r="C381" s="216" t="n"/>
      <c r="D381" s="216" t="n"/>
      <c r="E381" s="216" t="n"/>
      <c r="F381" s="216" t="n"/>
      <c r="G381" s="216" t="n"/>
      <c r="H381" s="216" t="n"/>
      <c r="I381" s="216" t="n"/>
    </row>
    <row r="382">
      <c r="C382" s="216" t="n"/>
      <c r="D382" s="216" t="n"/>
      <c r="E382" s="216" t="n"/>
      <c r="F382" s="216" t="n"/>
      <c r="G382" s="216" t="n"/>
      <c r="H382" s="216" t="n"/>
      <c r="I382" s="216" t="n"/>
    </row>
    <row r="383">
      <c r="C383" s="216" t="n"/>
      <c r="D383" s="216" t="n"/>
      <c r="E383" s="216" t="n"/>
      <c r="F383" s="216" t="n"/>
      <c r="G383" s="216" t="n"/>
      <c r="H383" s="216" t="n"/>
      <c r="I383" s="216" t="n"/>
    </row>
    <row r="384">
      <c r="C384" s="216" t="n"/>
      <c r="D384" s="216" t="n"/>
      <c r="E384" s="216" t="n"/>
      <c r="F384" s="216" t="n"/>
      <c r="G384" s="216" t="n"/>
      <c r="H384" s="216" t="n"/>
      <c r="I384" s="216" t="n"/>
    </row>
    <row r="385">
      <c r="C385" s="216" t="n"/>
      <c r="D385" s="216" t="n"/>
      <c r="E385" s="216" t="n"/>
      <c r="F385" s="216" t="n"/>
      <c r="G385" s="216" t="n"/>
      <c r="H385" s="216" t="n"/>
      <c r="I385" s="216" t="n"/>
    </row>
    <row r="386">
      <c r="C386" s="216" t="n"/>
      <c r="D386" s="216" t="n"/>
      <c r="E386" s="216" t="n"/>
      <c r="F386" s="216" t="n"/>
      <c r="G386" s="216" t="n"/>
      <c r="H386" s="216" t="n"/>
      <c r="I386" s="216" t="n"/>
    </row>
    <row r="387">
      <c r="C387" s="216" t="n"/>
      <c r="D387" s="216" t="n"/>
      <c r="E387" s="216" t="n"/>
      <c r="F387" s="216" t="n"/>
      <c r="G387" s="216" t="n"/>
      <c r="H387" s="216" t="n"/>
      <c r="I387" s="216" t="n"/>
    </row>
    <row r="388">
      <c r="C388" s="216" t="n"/>
      <c r="D388" s="216" t="n"/>
      <c r="E388" s="216" t="n"/>
      <c r="F388" s="216" t="n"/>
      <c r="G388" s="216" t="n"/>
      <c r="H388" s="216" t="n"/>
      <c r="I388" s="216" t="n"/>
    </row>
    <row r="389">
      <c r="C389" s="216" t="n"/>
      <c r="D389" s="216" t="n"/>
      <c r="E389" s="216" t="n"/>
      <c r="F389" s="216" t="n"/>
      <c r="G389" s="216" t="n"/>
      <c r="H389" s="216" t="n"/>
      <c r="I389" s="216" t="n"/>
    </row>
    <row r="390">
      <c r="C390" s="216" t="n"/>
      <c r="D390" s="216" t="n"/>
      <c r="E390" s="216" t="n"/>
      <c r="F390" s="216" t="n"/>
      <c r="G390" s="216" t="n"/>
      <c r="H390" s="216" t="n"/>
      <c r="I390" s="216" t="n"/>
    </row>
    <row r="391">
      <c r="C391" s="216" t="n"/>
      <c r="D391" s="216" t="n"/>
      <c r="E391" s="216" t="n"/>
      <c r="F391" s="216" t="n"/>
      <c r="G391" s="216" t="n"/>
      <c r="H391" s="216" t="n"/>
      <c r="I391" s="216" t="n"/>
    </row>
    <row r="392">
      <c r="C392" s="216" t="n"/>
      <c r="D392" s="216" t="n"/>
      <c r="E392" s="216" t="n"/>
      <c r="F392" s="216" t="n"/>
      <c r="G392" s="216" t="n"/>
      <c r="H392" s="216" t="n"/>
      <c r="I392" s="216" t="n"/>
    </row>
    <row r="393">
      <c r="C393" s="216" t="n"/>
      <c r="D393" s="216" t="n"/>
      <c r="E393" s="216" t="n"/>
      <c r="F393" s="216" t="n"/>
      <c r="G393" s="216" t="n"/>
      <c r="H393" s="216" t="n"/>
      <c r="I393" s="216" t="n"/>
    </row>
    <row r="394">
      <c r="C394" s="216" t="n"/>
      <c r="D394" s="216" t="n"/>
      <c r="E394" s="216" t="n"/>
      <c r="F394" s="216" t="n"/>
      <c r="G394" s="216" t="n"/>
      <c r="H394" s="216" t="n"/>
      <c r="I394" s="216" t="n"/>
    </row>
    <row r="395">
      <c r="C395" s="216" t="n"/>
      <c r="D395" s="216" t="n"/>
      <c r="E395" s="216" t="n"/>
      <c r="F395" s="216" t="n"/>
      <c r="G395" s="216" t="n"/>
      <c r="H395" s="216" t="n"/>
      <c r="I395" s="216" t="n"/>
    </row>
    <row r="396">
      <c r="C396" s="216" t="n"/>
      <c r="D396" s="216" t="n"/>
      <c r="E396" s="216" t="n"/>
      <c r="F396" s="216" t="n"/>
      <c r="G396" s="216" t="n"/>
      <c r="H396" s="216" t="n"/>
      <c r="I396" s="216" t="n"/>
    </row>
    <row r="397">
      <c r="C397" s="216" t="n"/>
      <c r="D397" s="216" t="n"/>
      <c r="E397" s="216" t="n"/>
      <c r="F397" s="216" t="n"/>
      <c r="G397" s="216" t="n"/>
      <c r="H397" s="216" t="n"/>
      <c r="I397" s="216" t="n"/>
    </row>
    <row r="398">
      <c r="C398" s="216" t="n"/>
      <c r="D398" s="216" t="n"/>
      <c r="E398" s="216" t="n"/>
      <c r="F398" s="216" t="n"/>
      <c r="G398" s="216" t="n"/>
      <c r="H398" s="216" t="n"/>
      <c r="I398" s="216" t="n"/>
    </row>
    <row r="399">
      <c r="C399" s="216" t="n"/>
      <c r="D399" s="216" t="n"/>
      <c r="E399" s="216" t="n"/>
      <c r="F399" s="216" t="n"/>
      <c r="G399" s="216" t="n"/>
      <c r="H399" s="216" t="n"/>
      <c r="I399" s="216" t="n"/>
    </row>
    <row r="400">
      <c r="C400" s="216" t="n"/>
      <c r="D400" s="216" t="n"/>
      <c r="E400" s="216" t="n"/>
      <c r="F400" s="216" t="n"/>
      <c r="G400" s="216" t="n"/>
      <c r="H400" s="216" t="n"/>
      <c r="I400" s="216" t="n"/>
    </row>
    <row r="401">
      <c r="C401" s="216" t="n"/>
      <c r="D401" s="216" t="n"/>
      <c r="E401" s="216" t="n"/>
      <c r="F401" s="216" t="n"/>
      <c r="G401" s="216" t="n"/>
      <c r="H401" s="216" t="n"/>
      <c r="I401" s="216" t="n"/>
    </row>
    <row r="402">
      <c r="C402" s="216" t="n"/>
      <c r="D402" s="216" t="n"/>
      <c r="E402" s="216" t="n"/>
      <c r="F402" s="216" t="n"/>
      <c r="G402" s="216" t="n"/>
      <c r="H402" s="216" t="n"/>
      <c r="I402" s="216" t="n"/>
    </row>
    <row r="403">
      <c r="C403" s="216" t="n"/>
      <c r="D403" s="216" t="n"/>
      <c r="E403" s="216" t="n"/>
      <c r="F403" s="216" t="n"/>
      <c r="G403" s="216" t="n"/>
      <c r="H403" s="216" t="n"/>
      <c r="I403" s="216" t="n"/>
    </row>
    <row r="404">
      <c r="C404" s="216" t="n"/>
      <c r="D404" s="216" t="n"/>
      <c r="E404" s="216" t="n"/>
      <c r="F404" s="216" t="n"/>
      <c r="G404" s="216" t="n"/>
      <c r="H404" s="216" t="n"/>
      <c r="I404" s="216" t="n"/>
    </row>
    <row r="405">
      <c r="C405" s="216" t="n"/>
      <c r="D405" s="216" t="n"/>
      <c r="E405" s="216" t="n"/>
      <c r="F405" s="216" t="n"/>
      <c r="G405" s="216" t="n"/>
      <c r="H405" s="216" t="n"/>
      <c r="I405" s="216" t="n"/>
    </row>
    <row r="406">
      <c r="C406" s="216" t="n"/>
      <c r="D406" s="216" t="n"/>
      <c r="E406" s="216" t="n"/>
      <c r="F406" s="216" t="n"/>
      <c r="G406" s="216" t="n"/>
      <c r="H406" s="216" t="n"/>
      <c r="I406" s="216" t="n"/>
    </row>
    <row r="407">
      <c r="C407" s="216" t="n"/>
      <c r="D407" s="216" t="n"/>
      <c r="E407" s="216" t="n"/>
      <c r="F407" s="216" t="n"/>
      <c r="G407" s="216" t="n"/>
      <c r="H407" s="216" t="n"/>
      <c r="I407" s="216" t="n"/>
    </row>
    <row r="408">
      <c r="C408" s="216" t="n"/>
      <c r="D408" s="216" t="n"/>
      <c r="E408" s="216" t="n"/>
      <c r="F408" s="216" t="n"/>
      <c r="G408" s="216" t="n"/>
      <c r="H408" s="216" t="n"/>
      <c r="I408" s="216" t="n"/>
    </row>
    <row r="409">
      <c r="C409" s="216" t="n"/>
      <c r="D409" s="216" t="n"/>
      <c r="E409" s="216" t="n"/>
      <c r="F409" s="216" t="n"/>
      <c r="G409" s="216" t="n"/>
      <c r="H409" s="216" t="n"/>
      <c r="I409" s="216" t="n"/>
    </row>
    <row r="410">
      <c r="C410" s="216" t="n"/>
      <c r="D410" s="216" t="n"/>
      <c r="E410" s="216" t="n"/>
      <c r="F410" s="216" t="n"/>
      <c r="G410" s="216" t="n"/>
      <c r="H410" s="216" t="n"/>
      <c r="I410" s="216" t="n"/>
    </row>
    <row r="411">
      <c r="C411" s="216" t="n"/>
      <c r="D411" s="216" t="n"/>
      <c r="E411" s="216" t="n"/>
      <c r="F411" s="216" t="n"/>
      <c r="G411" s="216" t="n"/>
      <c r="H411" s="216" t="n"/>
      <c r="I411" s="216" t="n"/>
    </row>
    <row r="412">
      <c r="C412" s="216" t="n"/>
      <c r="D412" s="216" t="n"/>
      <c r="E412" s="216" t="n"/>
      <c r="F412" s="216" t="n"/>
      <c r="G412" s="216" t="n"/>
      <c r="H412" s="216" t="n"/>
      <c r="I412" s="216" t="n"/>
    </row>
    <row r="413">
      <c r="C413" s="216" t="n"/>
      <c r="D413" s="216" t="n"/>
      <c r="E413" s="216" t="n"/>
      <c r="F413" s="216" t="n"/>
      <c r="G413" s="216" t="n"/>
      <c r="H413" s="216" t="n"/>
      <c r="I413" s="216" t="n"/>
    </row>
    <row r="414">
      <c r="C414" s="216" t="n"/>
      <c r="D414" s="216" t="n"/>
      <c r="E414" s="216" t="n"/>
      <c r="F414" s="216" t="n"/>
      <c r="G414" s="216" t="n"/>
      <c r="H414" s="216" t="n"/>
      <c r="I414" s="216" t="n"/>
    </row>
    <row r="415">
      <c r="C415" s="216" t="n"/>
      <c r="D415" s="216" t="n"/>
      <c r="E415" s="216" t="n"/>
      <c r="F415" s="216" t="n"/>
      <c r="G415" s="216" t="n"/>
      <c r="H415" s="216" t="n"/>
      <c r="I415" s="216" t="n"/>
    </row>
    <row r="416">
      <c r="C416" s="216" t="n"/>
      <c r="D416" s="216" t="n"/>
      <c r="E416" s="216" t="n"/>
      <c r="F416" s="216" t="n"/>
      <c r="G416" s="216" t="n"/>
      <c r="H416" s="216" t="n"/>
      <c r="I416" s="216" t="n"/>
    </row>
    <row r="417">
      <c r="C417" s="216" t="n"/>
      <c r="D417" s="216" t="n"/>
      <c r="E417" s="216" t="n"/>
      <c r="F417" s="216" t="n"/>
      <c r="G417" s="216" t="n"/>
      <c r="H417" s="216" t="n"/>
      <c r="I417" s="216" t="n"/>
    </row>
    <row r="418">
      <c r="C418" s="216" t="n"/>
      <c r="D418" s="216" t="n"/>
      <c r="E418" s="216" t="n"/>
      <c r="F418" s="216" t="n"/>
      <c r="G418" s="216" t="n"/>
      <c r="H418" s="216" t="n"/>
      <c r="I418" s="216" t="n"/>
    </row>
    <row r="419">
      <c r="C419" s="216" t="n"/>
      <c r="D419" s="216" t="n"/>
      <c r="E419" s="216" t="n"/>
      <c r="F419" s="216" t="n"/>
      <c r="G419" s="216" t="n"/>
      <c r="H419" s="216" t="n"/>
      <c r="I419" s="216" t="n"/>
    </row>
    <row r="420">
      <c r="C420" s="216" t="n"/>
      <c r="D420" s="216" t="n"/>
      <c r="E420" s="216" t="n"/>
      <c r="F420" s="216" t="n"/>
      <c r="G420" s="216" t="n"/>
      <c r="H420" s="216" t="n"/>
      <c r="I420" s="216" t="n"/>
    </row>
    <row r="421">
      <c r="C421" s="216" t="n"/>
      <c r="D421" s="216" t="n"/>
      <c r="E421" s="216" t="n"/>
      <c r="F421" s="216" t="n"/>
      <c r="G421" s="216" t="n"/>
      <c r="H421" s="216" t="n"/>
      <c r="I421" s="216" t="n"/>
    </row>
    <row r="422">
      <c r="C422" s="216" t="n"/>
      <c r="D422" s="216" t="n"/>
      <c r="E422" s="216" t="n"/>
      <c r="F422" s="216" t="n"/>
      <c r="G422" s="216" t="n"/>
      <c r="H422" s="216" t="n"/>
      <c r="I422" s="216" t="n"/>
    </row>
    <row r="423">
      <c r="C423" s="216" t="n"/>
      <c r="D423" s="216" t="n"/>
      <c r="E423" s="216" t="n"/>
      <c r="F423" s="216" t="n"/>
      <c r="G423" s="216" t="n"/>
      <c r="H423" s="216" t="n"/>
      <c r="I423" s="216" t="n"/>
    </row>
    <row r="424">
      <c r="C424" s="216" t="n"/>
      <c r="D424" s="216" t="n"/>
      <c r="E424" s="216" t="n"/>
      <c r="F424" s="216" t="n"/>
      <c r="G424" s="216" t="n"/>
      <c r="H424" s="216" t="n"/>
      <c r="I424" s="216" t="n"/>
    </row>
    <row r="425">
      <c r="C425" s="216" t="n"/>
      <c r="D425" s="216" t="n"/>
      <c r="E425" s="216" t="n"/>
      <c r="F425" s="216" t="n"/>
      <c r="G425" s="216" t="n"/>
      <c r="H425" s="216" t="n"/>
      <c r="I425" s="216" t="n"/>
    </row>
    <row r="426">
      <c r="C426" s="216" t="n"/>
      <c r="D426" s="216" t="n"/>
      <c r="E426" s="216" t="n"/>
      <c r="F426" s="216" t="n"/>
      <c r="G426" s="216" t="n"/>
      <c r="H426" s="216" t="n"/>
      <c r="I426" s="216" t="n"/>
    </row>
    <row r="427">
      <c r="C427" s="216" t="n"/>
      <c r="D427" s="216" t="n"/>
      <c r="E427" s="216" t="n"/>
      <c r="F427" s="216" t="n"/>
      <c r="G427" s="216" t="n"/>
      <c r="H427" s="216" t="n"/>
      <c r="I427" s="216" t="n"/>
    </row>
    <row r="428">
      <c r="C428" s="216" t="n"/>
      <c r="D428" s="216" t="n"/>
      <c r="E428" s="216" t="n"/>
      <c r="F428" s="216" t="n"/>
      <c r="G428" s="216" t="n"/>
      <c r="H428" s="216" t="n"/>
      <c r="I428" s="216" t="n"/>
    </row>
    <row r="429">
      <c r="C429" s="216" t="n"/>
      <c r="D429" s="216" t="n"/>
      <c r="E429" s="216" t="n"/>
      <c r="F429" s="216" t="n"/>
      <c r="G429" s="216" t="n"/>
      <c r="H429" s="216" t="n"/>
      <c r="I429" s="216" t="n"/>
    </row>
    <row r="430">
      <c r="C430" s="216" t="n"/>
      <c r="D430" s="216" t="n"/>
      <c r="E430" s="216" t="n"/>
      <c r="F430" s="216" t="n"/>
      <c r="G430" s="216" t="n"/>
      <c r="H430" s="216" t="n"/>
      <c r="I430" s="216" t="n"/>
    </row>
    <row r="431">
      <c r="C431" s="216" t="n"/>
      <c r="D431" s="216" t="n"/>
      <c r="E431" s="216" t="n"/>
      <c r="F431" s="216" t="n"/>
      <c r="G431" s="216" t="n"/>
      <c r="H431" s="216" t="n"/>
      <c r="I431" s="216" t="n"/>
    </row>
    <row r="432">
      <c r="C432" s="216" t="n"/>
      <c r="D432" s="216" t="n"/>
      <c r="E432" s="216" t="n"/>
      <c r="F432" s="216" t="n"/>
      <c r="G432" s="216" t="n"/>
      <c r="H432" s="216" t="n"/>
      <c r="I432" s="216" t="n"/>
    </row>
    <row r="433">
      <c r="C433" s="216" t="n"/>
      <c r="D433" s="216" t="n"/>
      <c r="E433" s="216" t="n"/>
      <c r="F433" s="216" t="n"/>
      <c r="G433" s="216" t="n"/>
      <c r="H433" s="216" t="n"/>
      <c r="I433" s="216" t="n"/>
    </row>
    <row r="434">
      <c r="C434" s="216" t="n"/>
      <c r="D434" s="216" t="n"/>
      <c r="E434" s="216" t="n"/>
      <c r="F434" s="216" t="n"/>
      <c r="G434" s="216" t="n"/>
      <c r="H434" s="216" t="n"/>
      <c r="I434" s="216" t="n"/>
    </row>
    <row r="435">
      <c r="C435" s="216" t="n"/>
      <c r="D435" s="216" t="n"/>
      <c r="E435" s="216" t="n"/>
      <c r="F435" s="216" t="n"/>
      <c r="G435" s="216" t="n"/>
      <c r="H435" s="216" t="n"/>
      <c r="I435" s="216" t="n"/>
    </row>
    <row r="436">
      <c r="C436" s="216" t="n"/>
      <c r="D436" s="216" t="n"/>
      <c r="E436" s="216" t="n"/>
      <c r="F436" s="216" t="n"/>
      <c r="G436" s="216" t="n"/>
      <c r="H436" s="216" t="n"/>
      <c r="I436" s="216" t="n"/>
    </row>
    <row r="437">
      <c r="C437" s="216" t="n"/>
      <c r="D437" s="216" t="n"/>
      <c r="E437" s="216" t="n"/>
      <c r="F437" s="216" t="n"/>
      <c r="G437" s="216" t="n"/>
      <c r="H437" s="216" t="n"/>
      <c r="I437" s="216" t="n"/>
    </row>
    <row r="438">
      <c r="C438" s="216" t="n"/>
      <c r="D438" s="216" t="n"/>
      <c r="E438" s="216" t="n"/>
      <c r="F438" s="216" t="n"/>
      <c r="G438" s="216" t="n"/>
      <c r="H438" s="216" t="n"/>
      <c r="I438" s="216" t="n"/>
    </row>
    <row r="439">
      <c r="C439" s="216" t="n"/>
      <c r="D439" s="216" t="n"/>
      <c r="E439" s="216" t="n"/>
      <c r="F439" s="216" t="n"/>
      <c r="G439" s="216" t="n"/>
      <c r="H439" s="216" t="n"/>
      <c r="I439" s="216" t="n"/>
    </row>
    <row r="440">
      <c r="C440" s="216" t="n"/>
      <c r="D440" s="216" t="n"/>
      <c r="E440" s="216" t="n"/>
      <c r="F440" s="216" t="n"/>
      <c r="G440" s="216" t="n"/>
      <c r="H440" s="216" t="n"/>
      <c r="I440" s="216" t="n"/>
    </row>
    <row r="441">
      <c r="C441" s="216" t="n"/>
      <c r="D441" s="216" t="n"/>
      <c r="E441" s="216" t="n"/>
      <c r="F441" s="216" t="n"/>
      <c r="G441" s="216" t="n"/>
      <c r="H441" s="216" t="n"/>
      <c r="I441" s="216" t="n"/>
    </row>
    <row r="442">
      <c r="C442" s="216" t="n"/>
      <c r="D442" s="216" t="n"/>
      <c r="E442" s="216" t="n"/>
      <c r="F442" s="216" t="n"/>
      <c r="G442" s="216" t="n"/>
      <c r="H442" s="216" t="n"/>
      <c r="I442" s="216" t="n"/>
    </row>
    <row r="443">
      <c r="C443" s="216" t="n"/>
      <c r="D443" s="216" t="n"/>
      <c r="E443" s="216" t="n"/>
      <c r="F443" s="216" t="n"/>
      <c r="G443" s="216" t="n"/>
      <c r="H443" s="216" t="n"/>
      <c r="I443" s="216" t="n"/>
    </row>
    <row r="444">
      <c r="C444" s="216" t="n"/>
      <c r="D444" s="216" t="n"/>
      <c r="E444" s="216" t="n"/>
      <c r="F444" s="216" t="n"/>
      <c r="G444" s="216" t="n"/>
      <c r="H444" s="216" t="n"/>
      <c r="I444" s="216" t="n"/>
    </row>
    <row r="445">
      <c r="C445" s="216" t="n"/>
      <c r="D445" s="216" t="n"/>
      <c r="E445" s="216" t="n"/>
      <c r="F445" s="216" t="n"/>
      <c r="G445" s="216" t="n"/>
      <c r="H445" s="216" t="n"/>
      <c r="I445" s="216" t="n"/>
    </row>
    <row r="446">
      <c r="C446" s="216" t="n"/>
      <c r="D446" s="216" t="n"/>
      <c r="E446" s="216" t="n"/>
      <c r="F446" s="216" t="n"/>
      <c r="G446" s="216" t="n"/>
      <c r="H446" s="216" t="n"/>
      <c r="I446" s="216" t="n"/>
    </row>
    <row r="447">
      <c r="C447" s="216" t="n"/>
      <c r="D447" s="216" t="n"/>
      <c r="E447" s="216" t="n"/>
      <c r="F447" s="216" t="n"/>
      <c r="G447" s="216" t="n"/>
      <c r="H447" s="216" t="n"/>
      <c r="I447" s="216" t="n"/>
    </row>
    <row r="448">
      <c r="C448" s="216" t="n"/>
      <c r="D448" s="216" t="n"/>
      <c r="E448" s="216" t="n"/>
      <c r="F448" s="216" t="n"/>
      <c r="G448" s="216" t="n"/>
      <c r="H448" s="216" t="n"/>
      <c r="I448" s="216" t="n"/>
    </row>
    <row r="449">
      <c r="C449" s="216" t="n"/>
      <c r="D449" s="216" t="n"/>
      <c r="E449" s="216" t="n"/>
      <c r="F449" s="216" t="n"/>
      <c r="G449" s="216" t="n"/>
      <c r="H449" s="216" t="n"/>
      <c r="I449" s="216" t="n"/>
    </row>
    <row r="450">
      <c r="C450" s="216" t="n"/>
      <c r="D450" s="216" t="n"/>
      <c r="E450" s="216" t="n"/>
      <c r="F450" s="216" t="n"/>
      <c r="G450" s="216" t="n"/>
      <c r="H450" s="216" t="n"/>
      <c r="I450" s="216" t="n"/>
    </row>
    <row r="451">
      <c r="C451" s="216" t="n"/>
      <c r="D451" s="216" t="n"/>
      <c r="E451" s="216" t="n"/>
      <c r="F451" s="216" t="n"/>
      <c r="G451" s="216" t="n"/>
      <c r="H451" s="216" t="n"/>
      <c r="I451" s="216" t="n"/>
    </row>
    <row r="452">
      <c r="C452" s="216" t="n"/>
      <c r="D452" s="216" t="n"/>
      <c r="E452" s="216" t="n"/>
      <c r="F452" s="216" t="n"/>
      <c r="G452" s="216" t="n"/>
      <c r="H452" s="216" t="n"/>
      <c r="I452" s="216" t="n"/>
    </row>
    <row r="453">
      <c r="C453" s="216" t="n"/>
      <c r="D453" s="216" t="n"/>
      <c r="E453" s="216" t="n"/>
      <c r="F453" s="216" t="n"/>
      <c r="G453" s="216" t="n"/>
      <c r="H453" s="216" t="n"/>
      <c r="I453" s="216" t="n"/>
    </row>
    <row r="454">
      <c r="C454" s="216" t="n"/>
      <c r="D454" s="216" t="n"/>
      <c r="E454" s="216" t="n"/>
      <c r="F454" s="216" t="n"/>
      <c r="G454" s="216" t="n"/>
      <c r="H454" s="216" t="n"/>
      <c r="I454" s="216" t="n"/>
    </row>
    <row r="455">
      <c r="C455" s="216" t="n"/>
      <c r="D455" s="216" t="n"/>
      <c r="E455" s="216" t="n"/>
      <c r="F455" s="216" t="n"/>
      <c r="G455" s="216" t="n"/>
      <c r="H455" s="216" t="n"/>
      <c r="I455" s="216" t="n"/>
    </row>
    <row r="456">
      <c r="C456" s="216" t="n"/>
      <c r="D456" s="216" t="n"/>
      <c r="E456" s="216" t="n"/>
      <c r="F456" s="216" t="n"/>
      <c r="G456" s="216" t="n"/>
      <c r="H456" s="216" t="n"/>
      <c r="I456" s="216" t="n"/>
    </row>
    <row r="457">
      <c r="C457" s="216" t="n"/>
      <c r="D457" s="216" t="n"/>
      <c r="E457" s="216" t="n"/>
      <c r="F457" s="216" t="n"/>
      <c r="G457" s="216" t="n"/>
      <c r="H457" s="216" t="n"/>
      <c r="I457" s="216" t="n"/>
    </row>
    <row r="458">
      <c r="C458" s="216" t="n"/>
      <c r="D458" s="216" t="n"/>
      <c r="E458" s="216" t="n"/>
      <c r="F458" s="216" t="n"/>
      <c r="G458" s="216" t="n"/>
      <c r="H458" s="216" t="n"/>
      <c r="I458" s="216" t="n"/>
    </row>
    <row r="459">
      <c r="C459" s="216" t="n"/>
      <c r="D459" s="216" t="n"/>
      <c r="E459" s="216" t="n"/>
      <c r="F459" s="216" t="n"/>
      <c r="G459" s="216" t="n"/>
      <c r="H459" s="216" t="n"/>
      <c r="I459" s="216" t="n"/>
    </row>
    <row r="460">
      <c r="C460" s="216" t="n"/>
      <c r="D460" s="216" t="n"/>
      <c r="E460" s="216" t="n"/>
      <c r="F460" s="216" t="n"/>
      <c r="G460" s="216" t="n"/>
      <c r="H460" s="216" t="n"/>
      <c r="I460" s="216" t="n"/>
    </row>
    <row r="461">
      <c r="C461" s="216" t="n"/>
      <c r="D461" s="216" t="n"/>
      <c r="E461" s="216" t="n"/>
      <c r="F461" s="216" t="n"/>
      <c r="G461" s="216" t="n"/>
      <c r="H461" s="216" t="n"/>
      <c r="I461" s="216" t="n"/>
    </row>
    <row r="462">
      <c r="C462" s="216" t="n"/>
      <c r="D462" s="216" t="n"/>
      <c r="E462" s="216" t="n"/>
      <c r="F462" s="216" t="n"/>
      <c r="G462" s="216" t="n"/>
      <c r="H462" s="216" t="n"/>
      <c r="I462" s="216" t="n"/>
    </row>
    <row r="463">
      <c r="C463" s="216" t="n"/>
      <c r="D463" s="216" t="n"/>
      <c r="E463" s="216" t="n"/>
      <c r="F463" s="216" t="n"/>
      <c r="G463" s="216" t="n"/>
      <c r="H463" s="216" t="n"/>
      <c r="I463" s="216" t="n"/>
    </row>
    <row r="464">
      <c r="C464" s="216" t="n"/>
      <c r="D464" s="216" t="n"/>
      <c r="E464" s="216" t="n"/>
      <c r="F464" s="216" t="n"/>
      <c r="G464" s="216" t="n"/>
      <c r="H464" s="216" t="n"/>
      <c r="I464" s="216" t="n"/>
    </row>
    <row r="465">
      <c r="C465" s="216" t="n"/>
      <c r="D465" s="216" t="n"/>
      <c r="E465" s="216" t="n"/>
      <c r="F465" s="216" t="n"/>
      <c r="G465" s="216" t="n"/>
      <c r="H465" s="216" t="n"/>
      <c r="I465" s="216" t="n"/>
    </row>
    <row r="466">
      <c r="C466" s="216" t="n"/>
      <c r="D466" s="216" t="n"/>
      <c r="E466" s="216" t="n"/>
      <c r="F466" s="216" t="n"/>
      <c r="G466" s="216" t="n"/>
      <c r="H466" s="216" t="n"/>
      <c r="I466" s="216" t="n"/>
    </row>
    <row r="467">
      <c r="C467" s="216" t="n"/>
      <c r="D467" s="216" t="n"/>
      <c r="E467" s="216" t="n"/>
      <c r="F467" s="216" t="n"/>
      <c r="G467" s="216" t="n"/>
      <c r="H467" s="216" t="n"/>
      <c r="I467" s="216" t="n"/>
    </row>
    <row r="468">
      <c r="C468" s="216" t="n"/>
      <c r="D468" s="216" t="n"/>
      <c r="E468" s="216" t="n"/>
      <c r="F468" s="216" t="n"/>
      <c r="G468" s="216" t="n"/>
      <c r="H468" s="216" t="n"/>
      <c r="I468" s="216" t="n"/>
    </row>
    <row r="469">
      <c r="C469" s="216" t="n"/>
      <c r="D469" s="216" t="n"/>
      <c r="E469" s="216" t="n"/>
      <c r="F469" s="216" t="n"/>
      <c r="G469" s="216" t="n"/>
      <c r="H469" s="216" t="n"/>
      <c r="I469" s="216" t="n"/>
    </row>
    <row r="470">
      <c r="C470" s="216" t="n"/>
      <c r="D470" s="216" t="n"/>
      <c r="E470" s="216" t="n"/>
      <c r="F470" s="216" t="n"/>
      <c r="G470" s="216" t="n"/>
      <c r="H470" s="216" t="n"/>
      <c r="I470" s="216" t="n"/>
    </row>
    <row r="471">
      <c r="C471" s="216" t="n"/>
      <c r="D471" s="216" t="n"/>
      <c r="E471" s="216" t="n"/>
      <c r="F471" s="216" t="n"/>
      <c r="G471" s="216" t="n"/>
      <c r="H471" s="216" t="n"/>
      <c r="I471" s="216" t="n"/>
    </row>
    <row r="472">
      <c r="C472" s="216" t="n"/>
      <c r="D472" s="216" t="n"/>
      <c r="E472" s="216" t="n"/>
      <c r="F472" s="216" t="n"/>
      <c r="G472" s="216" t="n"/>
      <c r="H472" s="216" t="n"/>
      <c r="I472" s="216" t="n"/>
    </row>
    <row r="473">
      <c r="C473" s="216" t="n"/>
      <c r="D473" s="216" t="n"/>
      <c r="E473" s="216" t="n"/>
      <c r="F473" s="216" t="n"/>
      <c r="G473" s="216" t="n"/>
      <c r="H473" s="216" t="n"/>
      <c r="I473" s="216" t="n"/>
    </row>
    <row r="474">
      <c r="C474" s="216" t="n"/>
      <c r="D474" s="216" t="n"/>
      <c r="E474" s="216" t="n"/>
      <c r="F474" s="216" t="n"/>
      <c r="G474" s="216" t="n"/>
      <c r="H474" s="216" t="n"/>
      <c r="I474" s="216" t="n"/>
    </row>
    <row r="475">
      <c r="C475" s="216" t="n"/>
      <c r="D475" s="216" t="n"/>
      <c r="E475" s="216" t="n"/>
      <c r="F475" s="216" t="n"/>
      <c r="G475" s="216" t="n"/>
      <c r="H475" s="216" t="n"/>
      <c r="I475" s="216" t="n"/>
    </row>
    <row r="476">
      <c r="C476" s="216" t="n"/>
      <c r="D476" s="216" t="n"/>
      <c r="E476" s="216" t="n"/>
      <c r="F476" s="216" t="n"/>
      <c r="G476" s="216" t="n"/>
      <c r="H476" s="216" t="n"/>
      <c r="I476" s="216" t="n"/>
    </row>
    <row r="477">
      <c r="C477" s="216" t="n"/>
      <c r="D477" s="216" t="n"/>
      <c r="E477" s="216" t="n"/>
      <c r="F477" s="216" t="n"/>
      <c r="G477" s="216" t="n"/>
      <c r="H477" s="216" t="n"/>
      <c r="I477" s="216" t="n"/>
    </row>
    <row r="478">
      <c r="C478" s="216" t="n"/>
      <c r="D478" s="216" t="n"/>
      <c r="E478" s="216" t="n"/>
      <c r="F478" s="216" t="n"/>
      <c r="G478" s="216" t="n"/>
      <c r="H478" s="216" t="n"/>
      <c r="I478" s="216" t="n"/>
    </row>
    <row r="479">
      <c r="C479" s="216" t="n"/>
      <c r="D479" s="216" t="n"/>
      <c r="E479" s="216" t="n"/>
      <c r="F479" s="216" t="n"/>
      <c r="G479" s="216" t="n"/>
      <c r="H479" s="216" t="n"/>
      <c r="I479" s="216" t="n"/>
    </row>
    <row r="480">
      <c r="C480" s="216" t="n"/>
      <c r="D480" s="216" t="n"/>
      <c r="E480" s="216" t="n"/>
      <c r="F480" s="216" t="n"/>
      <c r="G480" s="216" t="n"/>
      <c r="H480" s="216" t="n"/>
      <c r="I480" s="216" t="n"/>
    </row>
    <row r="481">
      <c r="C481" s="216" t="n"/>
      <c r="D481" s="216" t="n"/>
      <c r="E481" s="216" t="n"/>
      <c r="F481" s="216" t="n"/>
      <c r="G481" s="216" t="n"/>
      <c r="H481" s="216" t="n"/>
      <c r="I481" s="216" t="n"/>
    </row>
    <row r="482">
      <c r="C482" s="216" t="n"/>
      <c r="D482" s="216" t="n"/>
      <c r="E482" s="216" t="n"/>
      <c r="F482" s="216" t="n"/>
      <c r="G482" s="216" t="n"/>
      <c r="H482" s="216" t="n"/>
      <c r="I482" s="216" t="n"/>
    </row>
    <row r="483">
      <c r="C483" s="216" t="n"/>
      <c r="D483" s="216" t="n"/>
      <c r="E483" s="216" t="n"/>
      <c r="F483" s="216" t="n"/>
      <c r="G483" s="216" t="n"/>
      <c r="H483" s="216" t="n"/>
      <c r="I483" s="216" t="n"/>
    </row>
    <row r="484">
      <c r="C484" s="216" t="n"/>
      <c r="D484" s="216" t="n"/>
      <c r="E484" s="216" t="n"/>
      <c r="F484" s="216" t="n"/>
      <c r="G484" s="216" t="n"/>
      <c r="H484" s="216" t="n"/>
      <c r="I484" s="216" t="n"/>
    </row>
    <row r="485">
      <c r="C485" s="216" t="n"/>
      <c r="D485" s="216" t="n"/>
      <c r="E485" s="216" t="n"/>
      <c r="F485" s="216" t="n"/>
      <c r="G485" s="216" t="n"/>
      <c r="H485" s="216" t="n"/>
      <c r="I485" s="216" t="n"/>
    </row>
    <row r="486">
      <c r="C486" s="216" t="n"/>
      <c r="D486" s="216" t="n"/>
      <c r="E486" s="216" t="n"/>
      <c r="F486" s="216" t="n"/>
      <c r="G486" s="216" t="n"/>
      <c r="H486" s="216" t="n"/>
      <c r="I486" s="216" t="n"/>
    </row>
    <row r="487">
      <c r="C487" s="216" t="n"/>
      <c r="D487" s="216" t="n"/>
      <c r="E487" s="216" t="n"/>
      <c r="F487" s="216" t="n"/>
      <c r="G487" s="216" t="n"/>
      <c r="H487" s="216" t="n"/>
      <c r="I487" s="216" t="n"/>
    </row>
    <row r="488">
      <c r="C488" s="216" t="n"/>
      <c r="D488" s="216" t="n"/>
      <c r="E488" s="216" t="n"/>
      <c r="F488" s="216" t="n"/>
      <c r="G488" s="216" t="n"/>
      <c r="H488" s="216" t="n"/>
      <c r="I488" s="216" t="n"/>
    </row>
    <row r="489">
      <c r="C489" s="216" t="n"/>
      <c r="D489" s="216" t="n"/>
      <c r="E489" s="216" t="n"/>
      <c r="F489" s="216" t="n"/>
      <c r="G489" s="216" t="n"/>
      <c r="H489" s="216" t="n"/>
      <c r="I489" s="216" t="n"/>
    </row>
    <row r="490">
      <c r="C490" s="216" t="n"/>
      <c r="D490" s="216" t="n"/>
      <c r="E490" s="216" t="n"/>
      <c r="F490" s="216" t="n"/>
      <c r="G490" s="216" t="n"/>
      <c r="H490" s="216" t="n"/>
      <c r="I490" s="216" t="n"/>
    </row>
    <row r="491">
      <c r="C491" s="216" t="n"/>
      <c r="D491" s="216" t="n"/>
      <c r="E491" s="216" t="n"/>
      <c r="F491" s="216" t="n"/>
      <c r="G491" s="216" t="n"/>
      <c r="H491" s="216" t="n"/>
      <c r="I491" s="216" t="n"/>
    </row>
    <row r="492">
      <c r="C492" s="216" t="n"/>
      <c r="D492" s="216" t="n"/>
      <c r="E492" s="216" t="n"/>
      <c r="F492" s="216" t="n"/>
      <c r="G492" s="216" t="n"/>
      <c r="H492" s="216" t="n"/>
      <c r="I492" s="216" t="n"/>
    </row>
    <row r="493">
      <c r="C493" s="216" t="n"/>
      <c r="D493" s="216" t="n"/>
      <c r="E493" s="216" t="n"/>
      <c r="F493" s="216" t="n"/>
      <c r="G493" s="216" t="n"/>
      <c r="H493" s="216" t="n"/>
      <c r="I493" s="216" t="n"/>
    </row>
    <row r="494">
      <c r="C494" s="216" t="n"/>
      <c r="D494" s="216" t="n"/>
      <c r="E494" s="216" t="n"/>
      <c r="F494" s="216" t="n"/>
      <c r="G494" s="216" t="n"/>
      <c r="H494" s="216" t="n"/>
      <c r="I494" s="216" t="n"/>
    </row>
    <row r="495">
      <c r="C495" s="216" t="n"/>
      <c r="D495" s="216" t="n"/>
      <c r="E495" s="216" t="n"/>
      <c r="F495" s="216" t="n"/>
      <c r="G495" s="216" t="n"/>
      <c r="H495" s="216" t="n"/>
      <c r="I495" s="216" t="n"/>
    </row>
    <row r="496">
      <c r="C496" s="216" t="n"/>
      <c r="D496" s="216" t="n"/>
      <c r="E496" s="216" t="n"/>
      <c r="F496" s="216" t="n"/>
      <c r="G496" s="216" t="n"/>
      <c r="H496" s="216" t="n"/>
      <c r="I496" s="216" t="n"/>
    </row>
    <row r="497">
      <c r="C497" s="216" t="n"/>
      <c r="D497" s="216" t="n"/>
      <c r="E497" s="216" t="n"/>
      <c r="F497" s="216" t="n"/>
      <c r="G497" s="216" t="n"/>
      <c r="H497" s="216" t="n"/>
      <c r="I497" s="216" t="n"/>
    </row>
    <row r="498">
      <c r="C498" s="216" t="n"/>
      <c r="D498" s="216" t="n"/>
      <c r="E498" s="216" t="n"/>
      <c r="F498" s="216" t="n"/>
      <c r="G498" s="216" t="n"/>
      <c r="H498" s="216" t="n"/>
      <c r="I498" s="216" t="n"/>
    </row>
    <row r="499">
      <c r="C499" s="216" t="n"/>
      <c r="D499" s="216" t="n"/>
      <c r="E499" s="216" t="n"/>
      <c r="F499" s="216" t="n"/>
      <c r="G499" s="216" t="n"/>
      <c r="H499" s="216" t="n"/>
      <c r="I499" s="216" t="n"/>
    </row>
    <row r="500">
      <c r="C500" s="216" t="n"/>
      <c r="D500" s="216" t="n"/>
      <c r="E500" s="216" t="n"/>
      <c r="F500" s="216" t="n"/>
      <c r="G500" s="216" t="n"/>
      <c r="H500" s="216" t="n"/>
      <c r="I500" s="216" t="n"/>
    </row>
    <row r="501">
      <c r="C501" s="216" t="n"/>
      <c r="D501" s="216" t="n"/>
      <c r="E501" s="216" t="n"/>
      <c r="F501" s="216" t="n"/>
      <c r="G501" s="216" t="n"/>
      <c r="H501" s="216" t="n"/>
      <c r="I501" s="216" t="n"/>
    </row>
    <row r="502">
      <c r="C502" s="216" t="n"/>
      <c r="D502" s="216" t="n"/>
      <c r="E502" s="216" t="n"/>
      <c r="F502" s="216" t="n"/>
      <c r="G502" s="216" t="n"/>
      <c r="H502" s="216" t="n"/>
      <c r="I502" s="216" t="n"/>
    </row>
  </sheetData>
  <mergeCells count="1">
    <mergeCell ref="A1:I1"/>
  </mergeCells>
  <conditionalFormatting sqref="C111:I112">
    <cfRule type="cellIs" priority="1" operator="between" dxfId="0">
      <formula>1</formula>
      <formula>-1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0" workbookViewId="0">
      <selection activeCell="A2" sqref="A2"/>
    </sheetView>
  </sheetViews>
  <sheetFormatPr baseColWidth="8" defaultRowHeight="14.4"/>
  <cols>
    <col width="62" bestFit="1" customWidth="1" style="191" min="1" max="1"/>
    <col width="10.88671875" customWidth="1" style="191" min="2" max="4"/>
    <col width="11" customWidth="1" style="191" min="5" max="6"/>
    <col width="11.33203125" bestFit="1" customWidth="1" style="191" min="7" max="7"/>
  </cols>
  <sheetData>
    <row r="1" ht="18" customHeight="1" s="191">
      <c r="A1" s="192" t="inlineStr">
        <is>
          <t>BLACK BOX LTD - DCF</t>
        </is>
      </c>
    </row>
    <row r="2" ht="11.4" customHeight="1" s="191"/>
    <row r="3" ht="15" customHeight="1" s="191" thickBot="1">
      <c r="A3" s="83" t="inlineStr">
        <is>
          <t>WACC BUILD-UP</t>
        </is>
      </c>
      <c r="B3" s="84" t="n"/>
    </row>
    <row r="4">
      <c r="A4" s="87" t="inlineStr">
        <is>
          <t>Risk-free rate (India 10Y G-sec, ~Jun-2026)</t>
        </is>
      </c>
      <c r="B4" s="222" t="n">
        <v>0.068</v>
      </c>
    </row>
    <row r="5">
      <c r="A5" s="88" t="inlineStr">
        <is>
          <t>Equity risk premium (India)</t>
        </is>
      </c>
      <c r="B5" s="223" t="n">
        <v>0.07000000000000001</v>
      </c>
    </row>
    <row r="6">
      <c r="A6" s="88" t="inlineStr">
        <is>
          <t>Beta (small-cap integrator; moderated from 1.30 toward sector norms)</t>
        </is>
      </c>
      <c r="B6" s="137" t="n">
        <v>1.1</v>
      </c>
    </row>
    <row r="7">
      <c r="A7" s="88" t="inlineStr">
        <is>
          <t>Cost of equity = Rf + Beta x ERP</t>
        </is>
      </c>
      <c r="B7" s="224">
        <f>B4+B6*B5</f>
        <v/>
      </c>
    </row>
    <row r="8">
      <c r="A8" s="88" t="inlineStr">
        <is>
          <t>Pre-tax cost of debt (marginal borrowing rate)</t>
        </is>
      </c>
      <c r="B8" s="223" t="n">
        <v>0.09</v>
      </c>
    </row>
    <row r="9">
      <c r="A9" s="88" t="inlineStr">
        <is>
          <t>Tax rate</t>
        </is>
      </c>
      <c r="B9" s="223">
        <f>AVERAGE(Forecast!D14:I14)</f>
        <v/>
      </c>
    </row>
    <row r="10">
      <c r="A10" s="88" t="inlineStr">
        <is>
          <t>After-tax cost of debt</t>
        </is>
      </c>
      <c r="B10" s="224">
        <f>B8*(1-B9)</f>
        <v/>
      </c>
    </row>
    <row r="11">
      <c r="A11" s="88" t="inlineStr">
        <is>
          <t>Equity weight</t>
        </is>
      </c>
      <c r="B11" s="225" t="n">
        <v>0.92</v>
      </c>
    </row>
    <row r="12">
      <c r="A12" s="88" t="inlineStr">
        <is>
          <t>Debt weight</t>
        </is>
      </c>
      <c r="B12" s="225">
        <f>1-B11</f>
        <v/>
      </c>
    </row>
    <row r="13">
      <c r="A13" s="111" t="inlineStr">
        <is>
          <t>WACC</t>
        </is>
      </c>
      <c r="B13" s="226">
        <f>(B11*B7)+(B12*B10)</f>
        <v/>
      </c>
    </row>
    <row r="14">
      <c r="A14" s="92" t="n"/>
      <c r="B14" s="227" t="n"/>
    </row>
    <row r="15" ht="15" customHeight="1" s="191" thickBot="1">
      <c r="A15" s="83" t="inlineStr">
        <is>
          <t>TERMINAL VALUE</t>
        </is>
      </c>
      <c r="B15" s="83" t="n"/>
    </row>
    <row r="16">
      <c r="A16" s="86" t="inlineStr">
        <is>
          <t>Terminal growth rate (g) - long-run INR nominal (USD-centric, mature)</t>
        </is>
      </c>
      <c r="B16" s="228" t="n">
        <v>0.05</v>
      </c>
    </row>
    <row r="17">
      <c r="A17" s="85" t="inlineStr">
        <is>
          <t>Net (debt) / cash [FY26A: borrowings 827 + ST 30 lease-adj - cash 540 ~ (287)]</t>
        </is>
      </c>
      <c r="B17" s="139" t="n">
        <v>-287</v>
      </c>
    </row>
    <row r="18">
      <c r="A18" s="85" t="inlineStr">
        <is>
          <t>Shares outstanding (cr)</t>
        </is>
      </c>
      <c r="B18" s="140" t="n">
        <v>18</v>
      </c>
    </row>
    <row r="19">
      <c r="A19" s="86" t="inlineStr">
        <is>
          <t>Current market price (INR) [links Cover]</t>
        </is>
      </c>
      <c r="B19" s="95">
        <f>Cover!C6</f>
        <v/>
      </c>
    </row>
    <row r="21" ht="15" customHeight="1" s="191" thickBot="1">
      <c r="A21" s="83" t="inlineStr">
        <is>
          <t>FCFF BUILD</t>
        </is>
      </c>
      <c r="B21" s="91" t="inlineStr">
        <is>
          <t>FY 27 E</t>
        </is>
      </c>
      <c r="C21" s="91" t="inlineStr">
        <is>
          <t>FY 28 E</t>
        </is>
      </c>
      <c r="D21" s="91" t="inlineStr">
        <is>
          <t>FY 29 E</t>
        </is>
      </c>
      <c r="E21" s="91" t="inlineStr">
        <is>
          <t>FY 30 E</t>
        </is>
      </c>
      <c r="F21" s="91" t="inlineStr">
        <is>
          <t>FY 31 E</t>
        </is>
      </c>
      <c r="G21" s="91" t="inlineStr">
        <is>
          <t>FY 32 E</t>
        </is>
      </c>
    </row>
    <row r="22">
      <c r="A22" s="12" t="inlineStr">
        <is>
          <t>Revenue (from forecast)</t>
        </is>
      </c>
      <c r="B22" s="217">
        <f>Forecast!D33</f>
        <v/>
      </c>
      <c r="C22" s="217">
        <f>Forecast!E33</f>
        <v/>
      </c>
      <c r="D22" s="217">
        <f>Forecast!F33</f>
        <v/>
      </c>
      <c r="E22" s="217">
        <f>Forecast!G33</f>
        <v/>
      </c>
      <c r="F22" s="217">
        <f>Forecast!H33</f>
        <v/>
      </c>
      <c r="G22" s="217">
        <f>Forecast!I33</f>
        <v/>
      </c>
    </row>
    <row r="23">
      <c r="A23" s="11" t="inlineStr">
        <is>
          <t>EBIT (= PBT + finance cost)</t>
        </is>
      </c>
      <c r="B23" s="216">
        <f>Forecast!D44+Forecast!D38</f>
        <v/>
      </c>
      <c r="C23" s="216">
        <f>Forecast!E44+Forecast!E38</f>
        <v/>
      </c>
      <c r="D23" s="216">
        <f>Forecast!F44+Forecast!F38</f>
        <v/>
      </c>
      <c r="E23" s="216">
        <f>Forecast!G44+Forecast!G38</f>
        <v/>
      </c>
      <c r="F23" s="216">
        <f>Forecast!H44+Forecast!H38</f>
        <v/>
      </c>
      <c r="G23" s="216">
        <f>Forecast!I44+Forecast!I38</f>
        <v/>
      </c>
    </row>
    <row r="24">
      <c r="A24" s="11" t="inlineStr">
        <is>
          <t>Less: non-operating adjustment (n/a for Black Box)</t>
        </is>
      </c>
      <c r="B24" s="216" t="n">
        <v>0</v>
      </c>
      <c r="C24" s="216" t="n">
        <v>0</v>
      </c>
      <c r="D24" s="216" t="n">
        <v>0</v>
      </c>
      <c r="E24" s="216" t="n">
        <v>0</v>
      </c>
      <c r="F24" s="216" t="n">
        <v>0</v>
      </c>
      <c r="G24" s="216" t="n">
        <v>0</v>
      </c>
    </row>
    <row r="25">
      <c r="A25" s="12" t="inlineStr">
        <is>
          <t>Operating EBIT (for FCFF)</t>
        </is>
      </c>
      <c r="B25" s="217">
        <f>B23+B24</f>
        <v/>
      </c>
      <c r="C25" s="217">
        <f>C23+C24</f>
        <v/>
      </c>
      <c r="D25" s="217">
        <f>D23+D24</f>
        <v/>
      </c>
      <c r="E25" s="217">
        <f>E23+E24</f>
        <v/>
      </c>
      <c r="F25" s="217">
        <f>F23+F24</f>
        <v/>
      </c>
      <c r="G25" s="217">
        <f>G23+G24</f>
        <v/>
      </c>
    </row>
    <row r="26">
      <c r="A26" s="11" t="inlineStr">
        <is>
          <t>Less: tax on Operating EBIT</t>
        </is>
      </c>
      <c r="B26" s="216">
        <f>-B25*$B$9</f>
        <v/>
      </c>
      <c r="C26" s="216">
        <f>-C25*$B$9</f>
        <v/>
      </c>
      <c r="D26" s="216">
        <f>-D25*$B$9</f>
        <v/>
      </c>
      <c r="E26" s="216">
        <f>-E25*$B$9</f>
        <v/>
      </c>
      <c r="F26" s="216">
        <f>-F25*$B$9</f>
        <v/>
      </c>
      <c r="G26" s="216">
        <f>-G25*$B$9</f>
        <v/>
      </c>
    </row>
    <row r="27">
      <c r="A27" s="12" t="inlineStr">
        <is>
          <t>NOPAT</t>
        </is>
      </c>
      <c r="B27" s="217">
        <f>B25+B26</f>
        <v/>
      </c>
      <c r="C27" s="217">
        <f>C25+C26</f>
        <v/>
      </c>
      <c r="D27" s="217">
        <f>D25+D26</f>
        <v/>
      </c>
      <c r="E27" s="217">
        <f>E25+E26</f>
        <v/>
      </c>
      <c r="F27" s="217">
        <f>F25+F26</f>
        <v/>
      </c>
      <c r="G27" s="217">
        <f>G25+G26</f>
        <v/>
      </c>
    </row>
    <row r="28">
      <c r="A28" s="11" t="inlineStr">
        <is>
          <t>Add: depreciation &amp; amortisation</t>
        </is>
      </c>
      <c r="B28" s="216">
        <f>Forecast!D39</f>
        <v/>
      </c>
      <c r="C28" s="216">
        <f>Forecast!E39</f>
        <v/>
      </c>
      <c r="D28" s="216">
        <f>Forecast!F39</f>
        <v/>
      </c>
      <c r="E28" s="216">
        <f>Forecast!G39</f>
        <v/>
      </c>
      <c r="F28" s="216">
        <f>Forecast!H39</f>
        <v/>
      </c>
      <c r="G28" s="216">
        <f>Forecast!I39</f>
        <v/>
      </c>
    </row>
    <row r="29">
      <c r="A29" s="11" t="inlineStr">
        <is>
          <t>Less: capex</t>
        </is>
      </c>
      <c r="B29" s="216">
        <f>-Forecast!D108</f>
        <v/>
      </c>
      <c r="C29" s="216">
        <f>-Forecast!E108</f>
        <v/>
      </c>
      <c r="D29" s="216">
        <f>-Forecast!F108</f>
        <v/>
      </c>
      <c r="E29" s="216">
        <f>-Forecast!G108</f>
        <v/>
      </c>
      <c r="F29" s="216">
        <f>-Forecast!H108</f>
        <v/>
      </c>
      <c r="G29" s="216">
        <f>-Forecast!I108</f>
        <v/>
      </c>
    </row>
    <row r="30">
      <c r="A30" s="11" t="inlineStr">
        <is>
          <t>Less: change in operating working capital</t>
        </is>
      </c>
      <c r="B30" s="216">
        <f>Forecast!D92</f>
        <v/>
      </c>
      <c r="C30" s="216">
        <f>Forecast!E92</f>
        <v/>
      </c>
      <c r="D30" s="216">
        <f>Forecast!F92</f>
        <v/>
      </c>
      <c r="E30" s="216">
        <f>Forecast!G92</f>
        <v/>
      </c>
      <c r="F30" s="216">
        <f>Forecast!H92</f>
        <v/>
      </c>
      <c r="G30" s="216">
        <f>Forecast!I92</f>
        <v/>
      </c>
    </row>
    <row r="31">
      <c r="A31" s="12" t="inlineStr">
        <is>
          <t>FCFF</t>
        </is>
      </c>
      <c r="B31" s="217">
        <f>B27+B28+B29+B30</f>
        <v/>
      </c>
      <c r="C31" s="217">
        <f>C27+C28+C29+C30</f>
        <v/>
      </c>
      <c r="D31" s="217">
        <f>D27+D28+D29+D30</f>
        <v/>
      </c>
      <c r="E31" s="217">
        <f>E27+E28+E29+E30</f>
        <v/>
      </c>
      <c r="F31" s="217">
        <f>F27+F28+F29+F30</f>
        <v/>
      </c>
      <c r="G31" s="217">
        <f>G27+G28+G29+G30</f>
        <v/>
      </c>
      <c r="I31" s="141" t="n"/>
      <c r="J31" s="141" t="n"/>
      <c r="K31" s="141" t="n"/>
      <c r="L31" s="141" t="n"/>
      <c r="M31" s="141" t="n"/>
      <c r="N31" s="141" t="n"/>
    </row>
    <row r="32">
      <c r="A32" s="11" t="inlineStr">
        <is>
          <t>Discount factor @ WACC (mid-year convention)</t>
        </is>
      </c>
      <c r="B32" s="71">
        <f>1/(1+$B$13)^0.5</f>
        <v/>
      </c>
      <c r="C32" s="71">
        <f>1/(1+$B$13)^1.5</f>
        <v/>
      </c>
      <c r="D32" s="71">
        <f>1/(1+$B$13)^2.5</f>
        <v/>
      </c>
      <c r="E32" s="71">
        <f>1/(1+$B$13)^3.5</f>
        <v/>
      </c>
      <c r="F32" s="71">
        <f>1/(1+$B$13)^4.5</f>
        <v/>
      </c>
      <c r="G32" s="71">
        <f>1/(1+$B$13)^5.5</f>
        <v/>
      </c>
    </row>
    <row r="33">
      <c r="A33" s="12" t="inlineStr">
        <is>
          <t>PV of FCFF</t>
        </is>
      </c>
      <c r="B33" s="229">
        <f>B31*B32</f>
        <v/>
      </c>
      <c r="C33" s="229">
        <f>C31*C32</f>
        <v/>
      </c>
      <c r="D33" s="229">
        <f>D31*D32</f>
        <v/>
      </c>
      <c r="E33" s="229">
        <f>E31*E32</f>
        <v/>
      </c>
      <c r="F33" s="229">
        <f>F31*F32</f>
        <v/>
      </c>
      <c r="G33" s="229">
        <f>G31*G32</f>
        <v/>
      </c>
    </row>
    <row r="35">
      <c r="A35" s="11" t="inlineStr">
        <is>
          <t>Sum of PV of explicit FCFF (FY27E-FY32E)</t>
        </is>
      </c>
      <c r="C35" s="55">
        <f>SUM(B33:G33)</f>
        <v/>
      </c>
    </row>
    <row r="36">
      <c r="A36" s="11" t="inlineStr">
        <is>
          <t>Terminal value @ FY32 = FCFF32 x (1+g)/(WACC-g)</t>
        </is>
      </c>
      <c r="C36" s="55">
        <f>G31*(1+B16)/(B13-B16)</f>
        <v/>
      </c>
    </row>
    <row r="37">
      <c r="A37" s="11" t="inlineStr">
        <is>
          <t>PV of terminal value (mid-year)</t>
        </is>
      </c>
      <c r="C37" s="55">
        <f>C36/(1+B13)^5.5</f>
        <v/>
      </c>
    </row>
    <row r="38">
      <c r="A38" s="11" t="inlineStr">
        <is>
          <t>Enterprise value</t>
        </is>
      </c>
      <c r="C38" s="55">
        <f>SUM(C37+C35)</f>
        <v/>
      </c>
    </row>
    <row r="39">
      <c r="A39" s="11" t="inlineStr">
        <is>
          <t>Add: net cash / (less net debt)</t>
        </is>
      </c>
      <c r="C39" s="55">
        <f>B17</f>
        <v/>
      </c>
    </row>
    <row r="40">
      <c r="A40" s="11" t="inlineStr">
        <is>
          <t>Equity value</t>
        </is>
      </c>
      <c r="C40" s="55">
        <f>C38+C39</f>
        <v/>
      </c>
    </row>
    <row r="41">
      <c r="A41" s="122" t="inlineStr">
        <is>
          <t>Target price per share (INR)</t>
        </is>
      </c>
      <c r="B41" s="206" t="n"/>
      <c r="C41" s="124">
        <f>C40/B18</f>
        <v/>
      </c>
    </row>
    <row r="42">
      <c r="A42" s="12" t="inlineStr">
        <is>
          <t>Current price (INR)</t>
        </is>
      </c>
      <c r="C42" s="97">
        <f>B19</f>
        <v/>
      </c>
    </row>
    <row r="43">
      <c r="A43" s="11" t="inlineStr">
        <is>
          <t>Upside / (downside) vs current</t>
        </is>
      </c>
      <c r="C43" s="230">
        <f>C41/C42-1</f>
        <v/>
      </c>
    </row>
    <row r="44">
      <c r="A44" s="11" t="inlineStr">
        <is>
          <t>Memo: PV(TV) as % of EV</t>
        </is>
      </c>
      <c r="C44" s="211">
        <f>C37/C38</f>
        <v/>
      </c>
    </row>
    <row r="47" ht="18" customHeight="1" s="191">
      <c r="A47" s="192" t="inlineStr">
        <is>
          <t>BLACK BOX LTD - SENSITIVITY ANALYSIS</t>
        </is>
      </c>
    </row>
    <row r="49" ht="15" customHeight="1" s="191" thickBot="1">
      <c r="A49" s="202" t="inlineStr">
        <is>
          <t>DCF TARGET PRICE (INR): WACC (rows) vs TERMINAL GROWTH (cols)</t>
        </is>
      </c>
      <c r="B49" s="84" t="n"/>
      <c r="C49" s="84" t="n"/>
      <c r="D49" s="84" t="n"/>
      <c r="E49" s="84" t="n"/>
      <c r="F49" s="84" t="n"/>
      <c r="G49" s="84" t="n"/>
    </row>
    <row r="50">
      <c r="A50" s="110">
        <f>C41</f>
        <v/>
      </c>
      <c r="B50" s="231" t="n">
        <v>0.03</v>
      </c>
      <c r="C50" s="231" t="n">
        <v>0.04</v>
      </c>
      <c r="D50" s="231" t="n">
        <v>0.045</v>
      </c>
      <c r="E50" s="231" t="n">
        <v>0.05</v>
      </c>
      <c r="F50" s="231" t="n">
        <v>0.06</v>
      </c>
      <c r="G50" s="232" t="n"/>
      <c r="H50" s="232" t="n"/>
      <c r="I50" s="232" t="n"/>
    </row>
    <row r="51">
      <c r="A51" s="233" t="n">
        <v>0.12</v>
      </c>
      <c r="B51" s="250">
        <f>(SUMPRODUCT($B$31:$G$31,1/(1+$A51)^{0.5,1.5,2.5,3.5,4.5,5.5})+$G$31*(1+B$50)/($A51-B$50)/(1+$A51)^5.5+$B$17)/$B$18</f>
        <v/>
      </c>
      <c r="C51" s="250">
        <f>(SUMPRODUCT($B$31:$G$31,1/(1+$A51)^{0.5,1.5,2.5,3.5,4.5,5.5})+$G$31*(1+C$50)/($A51-C$50)/(1+$A51)^5.5+$B$17)/$B$18</f>
        <v/>
      </c>
      <c r="D51" s="251">
        <f>(SUMPRODUCT($B$31:$G$31,1/(1+$A51)^{0.5,1.5,2.5,3.5,4.5,5.5})+$G$31*(1+D$50)/($A51-D$50)/(1+$A51)^5.5+$B$17)/$B$18</f>
        <v/>
      </c>
      <c r="E51" s="250">
        <f>(SUMPRODUCT($B$31:$G$31,1/(1+$A51)^{0.5,1.5,2.5,3.5,4.5,5.5})+$G$31*(1+E$50)/($A51-E$50)/(1+$A51)^5.5+$B$17)/$B$18</f>
        <v/>
      </c>
      <c r="F51" s="250">
        <f>(SUMPRODUCT($B$31:$G$31,1/(1+$A51)^{0.5,1.5,2.5,3.5,4.5,5.5})+$G$31*(1+F$50)/($A51-F$50)/(1+$A51)^5.5+$B$17)/$B$18</f>
        <v/>
      </c>
    </row>
    <row r="52">
      <c r="A52" s="233" t="n">
        <v>0.125</v>
      </c>
      <c r="B52" s="250">
        <f>(SUMPRODUCT($B$31:$G$31,1/(1+$A52)^{0.5,1.5,2.5,3.5,4.5,5.5})+$G$31*(1+B$50)/($A52-B$50)/(1+$A52)^5.5+$B$17)/$B$18</f>
        <v/>
      </c>
      <c r="C52" s="250">
        <f>(SUMPRODUCT($B$31:$G$31,1/(1+$A52)^{0.5,1.5,2.5,3.5,4.5,5.5})+$G$31*(1+C$50)/($A52-C$50)/(1+$A52)^5.5+$B$17)/$B$18</f>
        <v/>
      </c>
      <c r="D52" s="251">
        <f>(SUMPRODUCT($B$31:$G$31,1/(1+$A52)^{0.5,1.5,2.5,3.5,4.5,5.5})+$G$31*(1+D$50)/($A52-D$50)/(1+$A52)^5.5+$B$17)/$B$18</f>
        <v/>
      </c>
      <c r="E52" s="250">
        <f>(SUMPRODUCT($B$31:$G$31,1/(1+$A52)^{0.5,1.5,2.5,3.5,4.5,5.5})+$G$31*(1+E$50)/($A52-E$50)/(1+$A52)^5.5+$B$17)/$B$18</f>
        <v/>
      </c>
      <c r="F52" s="250">
        <f>(SUMPRODUCT($B$31:$G$31,1/(1+$A52)^{0.5,1.5,2.5,3.5,4.5,5.5})+$G$31*(1+F$50)/($A52-F$50)/(1+$A52)^5.5+$B$17)/$B$18</f>
        <v/>
      </c>
    </row>
    <row r="53">
      <c r="A53" s="233" t="n">
        <v>0.13</v>
      </c>
      <c r="B53" s="250">
        <f>(SUMPRODUCT($B$31:$G$31,1/(1+$A53)^{0.5,1.5,2.5,3.5,4.5,5.5})+$G$31*(1+B$50)/($A53-B$50)/(1+$A53)^5.5+$B$17)/$B$18</f>
        <v/>
      </c>
      <c r="C53" s="250">
        <f>(SUMPRODUCT($B$31:$G$31,1/(1+$A53)^{0.5,1.5,2.5,3.5,4.5,5.5})+$G$31*(1+C$50)/($A53-C$50)/(1+$A53)^5.5+$B$17)/$B$18</f>
        <v/>
      </c>
      <c r="D53" s="251">
        <f>(SUMPRODUCT($B$31:$G$31,1/(1+$A53)^{0.5,1.5,2.5,3.5,4.5,5.5})+$G$31*(1+D$50)/($A53-D$50)/(1+$A53)^5.5+$B$17)/$B$18</f>
        <v/>
      </c>
      <c r="E53" s="250">
        <f>(SUMPRODUCT($B$31:$G$31,1/(1+$A53)^{0.5,1.5,2.5,3.5,4.5,5.5})+$G$31*(1+E$50)/($A53-E$50)/(1+$A53)^5.5+$B$17)/$B$18</f>
        <v/>
      </c>
      <c r="F53" s="250">
        <f>(SUMPRODUCT($B$31:$G$31,1/(1+$A53)^{0.5,1.5,2.5,3.5,4.5,5.5})+$G$31*(1+F$50)/($A53-F$50)/(1+$A53)^5.5+$B$17)/$B$18</f>
        <v/>
      </c>
    </row>
    <row r="54">
      <c r="A54" s="233" t="n">
        <v>0.135</v>
      </c>
      <c r="B54" s="250">
        <f>(SUMPRODUCT($B$31:$G$31,1/(1+$A54)^{0.5,1.5,2.5,3.5,4.5,5.5})+$G$31*(1+B$50)/($A54-B$50)/(1+$A54)^5.5+$B$17)/$B$18</f>
        <v/>
      </c>
      <c r="C54" s="250">
        <f>(SUMPRODUCT($B$31:$G$31,1/(1+$A54)^{0.5,1.5,2.5,3.5,4.5,5.5})+$G$31*(1+C$50)/($A54-C$50)/(1+$A54)^5.5+$B$17)/$B$18</f>
        <v/>
      </c>
      <c r="D54" s="251">
        <f>(SUMPRODUCT($B$31:$G$31,1/(1+$A54)^{0.5,1.5,2.5,3.5,4.5,5.5})+$G$31*(1+D$50)/($A54-D$50)/(1+$A54)^5.5+$B$17)/$B$18</f>
        <v/>
      </c>
      <c r="E54" s="250">
        <f>(SUMPRODUCT($B$31:$G$31,1/(1+$A54)^{0.5,1.5,2.5,3.5,4.5,5.5})+$G$31*(1+E$50)/($A54-E$50)/(1+$A54)^5.5+$B$17)/$B$18</f>
        <v/>
      </c>
      <c r="F54" s="250">
        <f>(SUMPRODUCT($B$31:$G$31,1/(1+$A54)^{0.5,1.5,2.5,3.5,4.5,5.5})+$G$31*(1+F$50)/($A54-F$50)/(1+$A54)^5.5+$B$17)/$B$18</f>
        <v/>
      </c>
    </row>
    <row r="55">
      <c r="A55" s="233" t="n">
        <v>0.14</v>
      </c>
      <c r="B55" s="250">
        <f>(SUMPRODUCT($B$31:$G$31,1/(1+$A55)^{0.5,1.5,2.5,3.5,4.5,5.5})+$G$31*(1+B$50)/($A55-B$50)/(1+$A55)^5.5+$B$17)/$B$18</f>
        <v/>
      </c>
      <c r="C55" s="250">
        <f>(SUMPRODUCT($B$31:$G$31,1/(1+$A55)^{0.5,1.5,2.5,3.5,4.5,5.5})+$G$31*(1+C$50)/($A55-C$50)/(1+$A55)^5.5+$B$17)/$B$18</f>
        <v/>
      </c>
      <c r="D55" s="251">
        <f>(SUMPRODUCT($B$31:$G$31,1/(1+$A55)^{0.5,1.5,2.5,3.5,4.5,5.5})+$G$31*(1+D$50)/($A55-D$50)/(1+$A55)^5.5+$B$17)/$B$18</f>
        <v/>
      </c>
      <c r="E55" s="250">
        <f>(SUMPRODUCT($B$31:$G$31,1/(1+$A55)^{0.5,1.5,2.5,3.5,4.5,5.5})+$G$31*(1+E$50)/($A55-E$50)/(1+$A55)^5.5+$B$17)/$B$18</f>
        <v/>
      </c>
      <c r="F55" s="250">
        <f>(SUMPRODUCT($B$31:$G$31,1/(1+$A55)^{0.5,1.5,2.5,3.5,4.5,5.5})+$G$31*(1+F$50)/($A55-F$50)/(1+$A55)^5.5+$B$17)/$B$18</f>
        <v/>
      </c>
    </row>
    <row r="56">
      <c r="A56" s="233" t="n">
        <v>0.145</v>
      </c>
      <c r="B56" s="250">
        <f>(SUMPRODUCT($B$31:$G$31,1/(1+$A56)^{0.5,1.5,2.5,3.5,4.5,5.5})+$G$31*(1+B$50)/($A56-B$50)/(1+$A56)^5.5+$B$17)/$B$18</f>
        <v/>
      </c>
      <c r="C56" s="250">
        <f>(SUMPRODUCT($B$31:$G$31,1/(1+$A56)^{0.5,1.5,2.5,3.5,4.5,5.5})+$G$31*(1+C$50)/($A56-C$50)/(1+$A56)^5.5+$B$17)/$B$18</f>
        <v/>
      </c>
      <c r="D56" s="251">
        <f>(SUMPRODUCT($B$31:$G$31,1/(1+$A56)^{0.5,1.5,2.5,3.5,4.5,5.5})+$G$31*(1+D$50)/($A56-D$50)/(1+$A56)^5.5+$B$17)/$B$18</f>
        <v/>
      </c>
      <c r="E56" s="250">
        <f>(SUMPRODUCT($B$31:$G$31,1/(1+$A56)^{0.5,1.5,2.5,3.5,4.5,5.5})+$G$31*(1+E$50)/($A56-E$50)/(1+$A56)^5.5+$B$17)/$B$18</f>
        <v/>
      </c>
      <c r="F56" s="250">
        <f>(SUMPRODUCT($B$31:$G$31,1/(1+$A56)^{0.5,1.5,2.5,3.5,4.5,5.5})+$G$31*(1+F$50)/($A56-F$50)/(1+$A56)^5.5+$B$17)/$B$18</f>
        <v/>
      </c>
    </row>
    <row r="57">
      <c r="A57" s="236" t="n">
        <v>0.15</v>
      </c>
      <c r="B57" s="250">
        <f>(SUMPRODUCT($B$31:$G$31,1/(1+$A57)^{0.5,1.5,2.5,3.5,4.5,5.5})+$G$31*(1+B$50)/($A57-B$50)/(1+$A57)^5.5+$B$17)/$B$18</f>
        <v/>
      </c>
      <c r="C57" s="250">
        <f>(SUMPRODUCT($B$31:$G$31,1/(1+$A57)^{0.5,1.5,2.5,3.5,4.5,5.5})+$G$31*(1+C$50)/($A57-C$50)/(1+$A57)^5.5+$B$17)/$B$18</f>
        <v/>
      </c>
      <c r="D57" s="251">
        <f>(SUMPRODUCT($B$31:$G$31,1/(1+$A57)^{0.5,1.5,2.5,3.5,4.5,5.5})+$G$31*(1+D$50)/($A57-D$50)/(1+$A57)^5.5+$B$17)/$B$18</f>
        <v/>
      </c>
      <c r="E57" s="250">
        <f>(SUMPRODUCT($B$31:$G$31,1/(1+$A57)^{0.5,1.5,2.5,3.5,4.5,5.5})+$G$31*(1+E$50)/($A57-E$50)/(1+$A57)^5.5+$B$17)/$B$18</f>
        <v/>
      </c>
      <c r="F57" s="250">
        <f>(SUMPRODUCT($B$31:$G$31,1/(1+$A57)^{0.5,1.5,2.5,3.5,4.5,5.5})+$G$31*(1+F$50)/($A57-F$50)/(1+$A57)^5.5+$B$17)/$B$18</f>
        <v/>
      </c>
    </row>
    <row r="58">
      <c r="D58" s="232" t="n"/>
    </row>
  </sheetData>
  <mergeCells count="3">
    <mergeCell ref="A49:G49"/>
    <mergeCell ref="A1:G1"/>
    <mergeCell ref="A47:G4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0" workbookViewId="0">
      <selection activeCell="A2" sqref="A2"/>
    </sheetView>
  </sheetViews>
  <sheetFormatPr baseColWidth="8" defaultColWidth="11.88671875" defaultRowHeight="14.4"/>
  <cols>
    <col width="37.77734375" bestFit="1" customWidth="1" style="191" min="1" max="1"/>
    <col width="9.33203125" bestFit="1" customWidth="1" style="191" min="2" max="2"/>
    <col width="23.6640625" bestFit="1" customWidth="1" style="191" min="3" max="3"/>
    <col width="15.109375" bestFit="1" customWidth="1" style="191" min="4" max="4"/>
    <col width="22.88671875" bestFit="1" customWidth="1" style="191" min="5" max="5"/>
    <col width="19.44140625" bestFit="1" customWidth="1" style="191" min="6" max="6"/>
    <col width="10" customWidth="1" style="191" min="7" max="7"/>
    <col width="9.21875" customWidth="1" style="191" min="8" max="8"/>
    <col width="9.77734375" customWidth="1" style="191" min="9" max="9"/>
    <col width="8.77734375" customWidth="1" style="191" min="10" max="10"/>
    <col width="8" customWidth="1" style="191" min="11" max="12"/>
    <col width="10.6640625" customWidth="1" style="191" min="13" max="13"/>
  </cols>
  <sheetData>
    <row r="1" ht="18" customHeight="1" s="191">
      <c r="A1" s="192" t="inlineStr">
        <is>
          <t>BLACK BOX LTD - RELATIVE VALUATION (economic peers: infra integrators/distributors)</t>
        </is>
      </c>
    </row>
    <row r="3">
      <c r="A3" s="99" t="inlineStr">
        <is>
          <t>Company</t>
        </is>
      </c>
      <c r="B3" s="100" t="inlineStr">
        <is>
          <t>Price (local)</t>
        </is>
      </c>
      <c r="C3" s="100" t="inlineStr">
        <is>
          <t>Mkt Cap</t>
        </is>
      </c>
      <c r="D3" s="100" t="inlineStr">
        <is>
          <t>Net debt/(cash)</t>
        </is>
      </c>
      <c r="E3" s="100" t="inlineStr">
        <is>
          <t>EV</t>
        </is>
      </c>
      <c r="F3" s="100" t="inlineStr">
        <is>
          <t>Revenue</t>
        </is>
      </c>
      <c r="G3" s="100" t="inlineStr">
        <is>
          <t>EBITDA</t>
        </is>
      </c>
      <c r="H3" s="100" t="inlineStr">
        <is>
          <t>PAT</t>
        </is>
      </c>
      <c r="I3" s="100" t="inlineStr">
        <is>
          <t>EPS</t>
        </is>
      </c>
      <c r="J3" s="100" t="inlineStr">
        <is>
          <t>ROE</t>
        </is>
      </c>
      <c r="K3" s="100" t="inlineStr">
        <is>
          <t>ROCE</t>
        </is>
      </c>
      <c r="L3" s="100" t="inlineStr">
        <is>
          <t>P/E</t>
        </is>
      </c>
      <c r="M3" s="100" t="inlineStr">
        <is>
          <t>EV/EBITDA</t>
        </is>
      </c>
    </row>
    <row r="4">
      <c r="A4" s="101" t="inlineStr">
        <is>
          <t>Black Box (subject)</t>
        </is>
      </c>
      <c r="B4" s="53">
        <f>Cover!C6</f>
        <v/>
      </c>
      <c r="C4" s="53">
        <f>B4*DCF!B18</f>
        <v/>
      </c>
      <c r="D4" s="53" t="n">
        <v>287</v>
      </c>
      <c r="E4" s="53">
        <f>C4+D4</f>
        <v/>
      </c>
      <c r="F4" s="53">
        <f>Historicals!K6</f>
        <v/>
      </c>
      <c r="G4" s="53">
        <f>Forecast!C51</f>
        <v/>
      </c>
      <c r="H4" s="53">
        <f>Historicals!K30</f>
        <v/>
      </c>
      <c r="I4" s="237">
        <f>Historicals!K33</f>
        <v/>
      </c>
      <c r="J4" s="211">
        <f>Historicals!K30/AVERAGE(Historicals!J46,Historicals!K46)</f>
        <v/>
      </c>
      <c r="K4" s="211">
        <f>(Historicals!K22+Historicals!K16)/(Historicals!K46+Historicals!K49+Historicals!K55)</f>
        <v/>
      </c>
      <c r="L4" s="252">
        <f>C4/H4</f>
        <v/>
      </c>
      <c r="M4" s="252">
        <f>E4/G4</f>
        <v/>
      </c>
    </row>
    <row r="5">
      <c r="A5" s="103" t="inlineStr">
        <is>
          <t>WESCO International (US distr. + DC deploy)</t>
        </is>
      </c>
      <c r="B5" s="53" t="n"/>
      <c r="C5" s="53" t="n"/>
      <c r="D5" s="53" t="n"/>
      <c r="E5" s="53" t="n"/>
      <c r="F5" s="53" t="n"/>
      <c r="G5" s="53" t="n"/>
      <c r="H5" s="53" t="n"/>
      <c r="I5" s="237" t="n"/>
      <c r="J5" s="211" t="n"/>
      <c r="K5" s="211" t="n"/>
      <c r="L5" s="252" t="n">
        <v>22</v>
      </c>
      <c r="M5" s="252" t="n">
        <v>13</v>
      </c>
    </row>
    <row r="6">
      <c r="A6" s="103" t="inlineStr">
        <is>
          <t>Kyndryl (US managed infra svcs; turnaround)</t>
        </is>
      </c>
      <c r="B6" s="53" t="n"/>
      <c r="C6" s="53" t="n"/>
      <c r="D6" s="53" t="n"/>
      <c r="E6" s="53" t="n"/>
      <c r="F6" s="53" t="n"/>
      <c r="G6" s="53" t="n"/>
      <c r="H6" s="53" t="n"/>
      <c r="I6" s="237" t="n"/>
      <c r="J6" s="211" t="n"/>
      <c r="K6" s="211" t="n"/>
      <c r="L6" s="252" t="n">
        <v>30</v>
      </c>
      <c r="M6" s="252" t="n">
        <v>5.5</v>
      </c>
    </row>
    <row r="7">
      <c r="A7" s="103" t="inlineStr">
        <is>
          <t>Redington (India IT distribution/infra)</t>
        </is>
      </c>
      <c r="B7" s="53" t="n"/>
      <c r="C7" s="53" t="n"/>
      <c r="D7" s="53" t="n"/>
      <c r="E7" s="53" t="n"/>
      <c r="F7" s="53" t="n"/>
      <c r="G7" s="53" t="n"/>
      <c r="H7" s="53" t="n"/>
      <c r="I7" s="237" t="n"/>
      <c r="J7" s="211" t="n"/>
      <c r="K7" s="211" t="n"/>
      <c r="L7" s="252" t="n">
        <v>16</v>
      </c>
      <c r="M7" s="252" t="n">
        <v>9</v>
      </c>
    </row>
    <row r="8">
      <c r="A8" s="101" t="inlineStr">
        <is>
          <t>Tata Communications (India digital infra)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53" t="n">
        <v>38</v>
      </c>
      <c r="M8" s="253" t="n">
        <v>9</v>
      </c>
    </row>
    <row r="9">
      <c r="A9" s="101" t="inlineStr">
        <is>
          <t>Mastek (India IT services - mid cap)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53" t="n">
        <v>16</v>
      </c>
      <c r="M9" s="253" t="n">
        <v>8</v>
      </c>
    </row>
    <row r="10">
      <c r="A10" s="103" t="inlineStr">
        <is>
          <t>Happiest Minds (India digital/IT)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52" t="n">
        <v>38</v>
      </c>
      <c r="M10" s="252" t="n">
        <v>19</v>
      </c>
    </row>
    <row r="11">
      <c r="A11" s="103" t="inlineStr">
        <is>
          <t>Peer median (economic peers)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52">
        <f>MEDIAN(L5:L10)</f>
        <v/>
      </c>
      <c r="M11" s="252">
        <f>MEDIAN(M5:M10)</f>
        <v/>
      </c>
    </row>
    <row r="12">
      <c r="A12" t="inlineStr">
        <is>
          <t>Peer mean</t>
        </is>
      </c>
      <c r="L12" s="247">
        <f>AVERAGE(L5:L10)</f>
        <v/>
      </c>
      <c r="M12" s="247">
        <f>AVERAGE(M5:M10)</f>
        <v/>
      </c>
    </row>
    <row r="13" ht="15" customHeight="1" s="191" thickBot="1">
      <c r="A13" s="254" t="inlineStr">
        <is>
          <t>TARGET PRICE — MULTIPLE APPLICATION</t>
        </is>
      </c>
      <c r="B13" s="83" t="n"/>
      <c r="C13" s="94" t="n"/>
    </row>
    <row r="14">
      <c r="A14" s="11" t="inlineStr">
        <is>
          <t>Black Box FY27E EPS (consol PAT / shares)</t>
        </is>
      </c>
      <c r="B14" s="255">
        <f>Forecast!D49</f>
        <v/>
      </c>
      <c r="D14" s="2" t="n"/>
      <c r="E14" s="2" t="n"/>
      <c r="F14" s="2" t="n"/>
    </row>
    <row r="15">
      <c r="A15" s="11" t="inlineStr">
        <is>
          <t>Black Box FY28E EPS</t>
        </is>
      </c>
      <c r="B15" s="255">
        <f>Forecast!E49</f>
        <v/>
      </c>
      <c r="D15" s="2" t="n"/>
      <c r="E15" s="2" t="n"/>
      <c r="F15" s="2" t="n"/>
    </row>
    <row r="16">
      <c r="A16" s="11" t="inlineStr">
        <is>
          <t>Black Box FY27E EBITDA (INR cr)</t>
        </is>
      </c>
      <c r="B16" s="106">
        <f>Forecast!D51</f>
        <v/>
      </c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56" t="inlineStr">
        <is>
          <t>Case</t>
        </is>
      </c>
      <c r="B18" s="257" t="inlineStr">
        <is>
          <t>Target P/E</t>
        </is>
      </c>
      <c r="C18" s="257" t="inlineStr">
        <is>
          <t>Implied TP (P/E x FY27E EPS)</t>
        </is>
      </c>
      <c r="D18" s="257" t="inlineStr">
        <is>
          <t>Target EV/EBITDA</t>
        </is>
      </c>
      <c r="E18" s="257" t="inlineStr">
        <is>
          <t>Implied TP (EV/EBITDA)</t>
        </is>
      </c>
      <c r="F18" s="257" t="inlineStr">
        <is>
          <t>Relative TP (P/E-based)</t>
        </is>
      </c>
    </row>
    <row r="19">
      <c r="A19" s="103" t="inlineStr">
        <is>
          <t>Bear (low)</t>
        </is>
      </c>
      <c r="B19" s="239" t="n">
        <v>20</v>
      </c>
      <c r="C19" s="53">
        <f>B19*$B$14</f>
        <v/>
      </c>
      <c r="D19" s="239" t="n">
        <v>11</v>
      </c>
      <c r="E19" s="53">
        <f>(D19*$B$16+DCF!$B$17)/DCF!$B$18</f>
        <v/>
      </c>
      <c r="F19" s="54">
        <f>C19</f>
        <v/>
      </c>
    </row>
    <row r="20">
      <c r="A20" s="101" t="inlineStr">
        <is>
          <t>Base</t>
        </is>
      </c>
      <c r="B20" s="240" t="n">
        <v>26</v>
      </c>
      <c r="C20" s="142">
        <f>B20*$B$14</f>
        <v/>
      </c>
      <c r="D20" s="240" t="n">
        <v>13</v>
      </c>
      <c r="E20" s="142">
        <f>(D20*$B$16+DCF!$B$17)/DCF!$B$18</f>
        <v/>
      </c>
      <c r="F20" s="54">
        <f>C20</f>
        <v/>
      </c>
    </row>
    <row r="21">
      <c r="A21" s="103" t="inlineStr">
        <is>
          <t>Bull (high)</t>
        </is>
      </c>
      <c r="B21" s="239" t="n">
        <v>32</v>
      </c>
      <c r="C21" s="53">
        <f>B21*$B$14</f>
        <v/>
      </c>
      <c r="D21" s="239" t="n">
        <v>16</v>
      </c>
      <c r="E21" s="53">
        <f>(D21*$B$16+DCF!$B$17)/DCF!$B$18</f>
        <v/>
      </c>
      <c r="F21" s="54">
        <f>C21</f>
        <v/>
      </c>
    </row>
    <row r="23">
      <c r="A23" t="inlineStr">
        <is>
          <t>Note: Peer set spans BB's closest economic analogs (WESCO, Kyndryl, Redington - low-margin integration/distribution/managed svcs) and Indian listed tech/infra (Tata Comm, Mastek, Happiest Minds). Peer median P/E ~26x, EV/EBITDA ~9x. Black Box at ~46x FY27E / ~65x trailing remains a clear premium; target multiples set at ~peer median (base 26x), a large discount to BBOX's current multiple. Multiples approximate (~Aug-2026) - refresh with live data.</t>
        </is>
      </c>
    </row>
  </sheetData>
  <mergeCells count="1">
    <mergeCell ref="A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zoomScale="104" workbookViewId="0">
      <selection activeCell="A2" sqref="A2"/>
    </sheetView>
  </sheetViews>
  <sheetFormatPr baseColWidth="8" defaultRowHeight="14.4" customHeight="1"/>
  <cols>
    <col width="44.33203125" customWidth="1" style="191" min="1" max="1"/>
    <col width="20.21875" bestFit="1" customWidth="1" style="191" min="2" max="2"/>
    <col width="23" bestFit="1" customWidth="1" style="191" min="3" max="3"/>
    <col width="16.33203125" bestFit="1" customWidth="1" style="191" min="4" max="4"/>
    <col width="12" bestFit="1" customWidth="1" style="191" min="5" max="5"/>
  </cols>
  <sheetData>
    <row r="1" ht="19.2" customHeight="1" s="191">
      <c r="A1" s="192" t="inlineStr">
        <is>
          <t>BLACK BOX LTD - VALUATION SUMMARY</t>
        </is>
      </c>
    </row>
    <row r="2" ht="14.4" customHeight="1" s="191">
      <c r="A2" s="118" t="n"/>
      <c r="B2" s="118" t="n"/>
      <c r="C2" s="118" t="n"/>
      <c r="D2" s="118" t="n"/>
      <c r="E2" s="118" t="n"/>
      <c r="F2" s="118" t="n"/>
      <c r="G2" s="118" t="n"/>
      <c r="H2" s="118" t="n"/>
    </row>
    <row r="3" ht="14.4" customHeight="1" s="191" thickBot="1">
      <c r="A3" s="202" t="inlineStr">
        <is>
          <t>VALUATION METHOD 3 — EV/EBITDA CROSS-CHECK</t>
        </is>
      </c>
      <c r="B3" s="84" t="n"/>
      <c r="C3" s="118" t="n"/>
      <c r="D3" s="118" t="n"/>
      <c r="E3" s="118" t="n"/>
      <c r="F3" s="118" t="n"/>
      <c r="G3" s="118" t="n"/>
      <c r="H3" s="118" t="n"/>
    </row>
    <row r="4" ht="14.4" customHeight="1" s="191">
      <c r="A4" s="11" t="inlineStr">
        <is>
          <t>FY27E EBITDA (INR cr)</t>
        </is>
      </c>
      <c r="B4" s="106">
        <f>Forecast!D51</f>
        <v/>
      </c>
      <c r="C4" s="118" t="n"/>
      <c r="D4" s="118" t="n"/>
      <c r="E4" s="118" t="n"/>
      <c r="F4" s="118" t="n"/>
      <c r="G4" s="118" t="n"/>
      <c r="H4" s="118" t="n"/>
    </row>
    <row r="5" ht="14.4" customHeight="1" s="191">
      <c r="A5" s="11" t="inlineStr">
        <is>
          <t>Target EV/EBITDA (x)</t>
        </is>
      </c>
      <c r="B5" s="255" t="n">
        <v>12</v>
      </c>
      <c r="C5" s="118" t="n"/>
      <c r="D5" s="118" t="n"/>
      <c r="E5" s="118" t="n"/>
      <c r="F5" s="118" t="n"/>
      <c r="G5" s="118" t="n"/>
      <c r="H5" s="118" t="n"/>
    </row>
    <row r="6" ht="14.4" customHeight="1" s="191">
      <c r="A6" s="11" t="inlineStr">
        <is>
          <t>Implied Enterprise Value</t>
        </is>
      </c>
      <c r="B6" s="106">
        <f>B4*B5</f>
        <v/>
      </c>
      <c r="C6" s="118" t="n"/>
      <c r="D6" s="118" t="n"/>
      <c r="E6" s="118" t="n"/>
      <c r="F6" s="118" t="n"/>
      <c r="G6" s="118" t="n"/>
      <c r="H6" s="118" t="n"/>
    </row>
    <row r="7" ht="14.4" customHeight="1" s="191">
      <c r="A7" s="11" t="inlineStr">
        <is>
          <t>Add: net cash / (less net debt)</t>
        </is>
      </c>
      <c r="B7" s="106">
        <f>DCF!B17</f>
        <v/>
      </c>
      <c r="C7" s="118" t="n"/>
      <c r="D7" s="118" t="n"/>
      <c r="E7" s="118" t="n"/>
      <c r="F7" s="118" t="n"/>
      <c r="G7" s="118" t="n"/>
      <c r="H7" s="118" t="n"/>
    </row>
    <row r="8" ht="14.4" customHeight="1" s="191">
      <c r="A8" s="11" t="inlineStr">
        <is>
          <t>Implied Equity Value</t>
        </is>
      </c>
      <c r="B8" s="106">
        <f>B6+B7</f>
        <v/>
      </c>
      <c r="C8" s="118" t="n"/>
      <c r="D8" s="118" t="n"/>
      <c r="E8" s="118" t="n"/>
      <c r="F8" s="118" t="n"/>
      <c r="G8" s="118" t="n"/>
      <c r="H8" s="118" t="n"/>
    </row>
    <row r="9" ht="14.4" customHeight="1" s="191">
      <c r="A9" s="11" t="inlineStr">
        <is>
          <t>Shares outstanding (cr)</t>
        </is>
      </c>
      <c r="B9" s="258">
        <f>DCF!B18</f>
        <v/>
      </c>
      <c r="C9" s="118" t="n"/>
      <c r="D9" s="118" t="n"/>
      <c r="E9" s="118" t="n"/>
      <c r="F9" s="118" t="n"/>
      <c r="G9" s="118" t="n"/>
      <c r="H9" s="118" t="n"/>
    </row>
    <row r="10" ht="14.4" customHeight="1" s="191">
      <c r="A10" s="11" t="inlineStr">
        <is>
          <t>EV/EBITDA-based TP (INR/share)</t>
        </is>
      </c>
      <c r="B10" s="106">
        <f>B8/B9</f>
        <v/>
      </c>
      <c r="C10" s="118" t="n"/>
      <c r="D10" s="118" t="n"/>
      <c r="E10" s="118" t="n"/>
      <c r="F10" s="118" t="n"/>
      <c r="G10" s="118" t="n"/>
      <c r="H10" s="118" t="n"/>
    </row>
    <row r="11" ht="14.4" customHeight="1" s="191">
      <c r="A11" s="11" t="n"/>
      <c r="B11" s="239" t="n"/>
      <c r="C11" s="118" t="n"/>
      <c r="D11" s="118" t="n"/>
      <c r="E11" s="118" t="n"/>
      <c r="F11" s="118" t="n"/>
      <c r="G11" s="118" t="n"/>
      <c r="H11" s="118" t="n"/>
    </row>
    <row r="12" ht="14.4" customHeight="1" s="191">
      <c r="A12" s="12" t="n"/>
      <c r="B12" s="241" t="n"/>
      <c r="C12" s="118" t="n"/>
      <c r="D12" s="118" t="n"/>
      <c r="E12" s="118" t="n"/>
      <c r="F12" s="118" t="n"/>
      <c r="G12" s="118" t="n"/>
      <c r="H12" s="118" t="n"/>
    </row>
    <row r="13" ht="14.4" customHeight="1" s="191">
      <c r="A13" s="12" t="n"/>
      <c r="B13" s="120" t="n"/>
      <c r="C13" s="118" t="n"/>
      <c r="D13" s="118" t="n"/>
      <c r="E13" s="118" t="n"/>
      <c r="F13" s="118" t="n"/>
      <c r="G13" s="118" t="n"/>
      <c r="H13" s="118" t="n"/>
    </row>
    <row r="14" ht="14.4" customHeight="1" s="191">
      <c r="A14" s="12" t="inlineStr">
        <is>
          <t>EV/EBITDA cross-check TP (INR/share)</t>
        </is>
      </c>
      <c r="B14" s="120">
        <f>B10</f>
        <v/>
      </c>
      <c r="C14" s="118" t="n"/>
      <c r="D14" s="118" t="n"/>
      <c r="E14" s="118" t="n"/>
      <c r="F14" s="118" t="n"/>
      <c r="G14" s="118" t="n"/>
      <c r="H14" s="118" t="n"/>
    </row>
    <row r="15" ht="14.4" customHeight="1" s="191">
      <c r="A15" s="12" t="n"/>
      <c r="B15" s="11" t="n"/>
      <c r="C15" s="118" t="n"/>
      <c r="D15" s="118" t="n"/>
      <c r="E15" s="118" t="n"/>
      <c r="F15" s="118" t="n"/>
      <c r="G15" s="118" t="n"/>
      <c r="H15" s="118" t="n"/>
    </row>
    <row r="16" ht="14.4" customHeight="1" s="191">
      <c r="A16" s="122" t="inlineStr">
        <is>
          <t>BLENDED TARGET PRICE (weighted base)</t>
        </is>
      </c>
      <c r="B16" s="259">
        <f>SUMPRODUCT(C24:C26,E24:E26)</f>
        <v/>
      </c>
      <c r="C16" s="118" t="n"/>
      <c r="D16" s="118" t="n"/>
      <c r="E16" s="118" t="n"/>
      <c r="F16" s="118" t="n"/>
      <c r="G16" s="118" t="n"/>
      <c r="H16" s="118" t="n"/>
    </row>
    <row r="17" ht="14.4" customHeight="1" s="191">
      <c r="A17" s="11" t="inlineStr">
        <is>
          <t>Current price (INR)</t>
        </is>
      </c>
      <c r="B17" s="260">
        <f>DCF!B19</f>
        <v/>
      </c>
      <c r="C17" s="118" t="n"/>
      <c r="D17" s="118" t="n"/>
      <c r="E17" s="118" t="n"/>
      <c r="F17" s="118" t="n"/>
      <c r="G17" s="118" t="n"/>
      <c r="H17" s="118" t="n"/>
    </row>
    <row r="18" ht="14.4" customHeight="1" s="191">
      <c r="A18" s="12" t="inlineStr">
        <is>
          <t>Upside / (downside) vs current</t>
        </is>
      </c>
      <c r="B18" s="242">
        <f>B16/B17-1</f>
        <v/>
      </c>
      <c r="C18" s="118" t="n"/>
      <c r="D18" s="118" t="n"/>
      <c r="E18" s="118" t="n"/>
      <c r="F18" s="118" t="n"/>
      <c r="G18" s="118" t="n"/>
      <c r="H18" s="118" t="n"/>
    </row>
    <row r="19" ht="14.4" customFormat="1" customHeight="1" s="12">
      <c r="A19" s="12" t="inlineStr">
        <is>
          <t>Recommendation</t>
        </is>
      </c>
      <c r="B19" s="125">
        <f>IF(B18&gt;0.15,"BUY",IF(B18&gt;0,"ACCUMULATE",IF(B18&gt;-0.1,"NEUTRAL/HOLD","REDUCE")))</f>
        <v/>
      </c>
    </row>
    <row r="20" ht="14.4" customHeight="1" s="191">
      <c r="A20" s="12" t="n"/>
      <c r="B20" s="11" t="n"/>
      <c r="C20" s="118" t="n"/>
      <c r="D20" s="118" t="n"/>
      <c r="E20" s="118" t="n"/>
      <c r="F20" s="118" t="n"/>
      <c r="G20" s="118" t="n"/>
      <c r="H20" s="118" t="n"/>
    </row>
    <row r="21" ht="14.4" customHeight="1" s="191">
      <c r="B21" s="11" t="n"/>
      <c r="C21" s="118" t="n"/>
      <c r="D21" s="118" t="n"/>
      <c r="E21" s="118" t="n"/>
      <c r="F21" s="118" t="n"/>
      <c r="G21" s="118" t="n"/>
      <c r="H21" s="118" t="n"/>
    </row>
    <row r="22" ht="14.4" customHeight="1" s="191" thickBot="1">
      <c r="A22" s="202" t="inlineStr">
        <is>
          <t>VALUATION SUMMARY — METHOD TRIANGULATION, BLENDED TARGET &amp; RECOMMENDATION</t>
        </is>
      </c>
      <c r="B22" s="84" t="n"/>
      <c r="C22" s="84" t="n"/>
      <c r="D22" s="84" t="n"/>
      <c r="E22" s="84" t="n"/>
      <c r="F22" s="94" t="n"/>
      <c r="G22" s="94" t="n"/>
      <c r="H22" s="94" t="n"/>
    </row>
    <row r="23" ht="14.4" customHeight="1" s="191">
      <c r="A23" s="86" t="inlineStr">
        <is>
          <t>Method</t>
        </is>
      </c>
      <c r="B23" s="165" t="inlineStr">
        <is>
          <t>Bear</t>
        </is>
      </c>
      <c r="C23" s="165" t="inlineStr">
        <is>
          <t>Base</t>
        </is>
      </c>
      <c r="D23" s="165" t="inlineStr">
        <is>
          <t>Bull</t>
        </is>
      </c>
      <c r="E23" s="165" t="inlineStr">
        <is>
          <t>Weight</t>
        </is>
      </c>
    </row>
    <row r="24" ht="14.4" customHeight="1" s="191">
      <c r="A24" s="85" t="inlineStr">
        <is>
          <t>DCF (FCFF; WACC 13-16%, g 4-6.5%)</t>
        </is>
      </c>
      <c r="B24" s="169">
        <f>DCF!B57</f>
        <v/>
      </c>
      <c r="C24" s="167">
        <f>DCF!C41</f>
        <v/>
      </c>
      <c r="D24" s="169">
        <f>DCF!F51</f>
        <v/>
      </c>
      <c r="E24" s="168" t="n">
        <v>0.4</v>
      </c>
    </row>
    <row r="25" ht="14.4" customHeight="1" s="191">
      <c r="A25" s="85" t="inlineStr">
        <is>
          <t>Relative (P/E on FY27E EPS)</t>
        </is>
      </c>
      <c r="B25" s="169">
        <f>Relative!F19</f>
        <v/>
      </c>
      <c r="C25" s="167">
        <f>Relative!F20</f>
        <v/>
      </c>
      <c r="D25" s="169">
        <f>Relative!F21</f>
        <v/>
      </c>
      <c r="E25" s="168" t="n">
        <v>0.4</v>
      </c>
    </row>
    <row r="26" ht="14.4" customHeight="1" s="191">
      <c r="A26" s="85" t="inlineStr">
        <is>
          <t>EV/EBITDA cross-check</t>
        </is>
      </c>
      <c r="B26" s="166" t="n"/>
      <c r="C26" s="167">
        <f>B10</f>
        <v/>
      </c>
      <c r="D26" s="166" t="n"/>
      <c r="E26" s="168" t="n">
        <v>0.2</v>
      </c>
    </row>
  </sheetData>
  <mergeCells count="3">
    <mergeCell ref="A22:E22"/>
    <mergeCell ref="A3:B3"/>
    <mergeCell ref="A1:H1"/>
  </mergeCells>
  <conditionalFormatting sqref="B19">
    <cfRule type="cellIs" priority="1" operator="equal" dxfId="3">
      <formula>"REDUCE"</formula>
    </cfRule>
    <cfRule type="cellIs" priority="2" operator="equal" dxfId="2">
      <formula>"NEUTRAL/HOLD"</formula>
    </cfRule>
    <cfRule type="cellIs" priority="3" operator="equal" dxfId="1">
      <formula>"ACCUMULATE"</formula>
    </cfRule>
    <cfRule type="cellIs" priority="4" operator="equal" dxfId="0">
      <formula>"BUY"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2" sqref="A2:I2"/>
    </sheetView>
  </sheetViews>
  <sheetFormatPr baseColWidth="8" defaultRowHeight="14.4"/>
  <cols>
    <col width="21.5546875" bestFit="1" customWidth="1" style="191" min="1" max="1"/>
    <col width="13" customWidth="1" style="191" min="2" max="2"/>
    <col width="22" customWidth="1" style="191" min="3" max="3"/>
    <col width="40" customWidth="1" style="191" min="4" max="4"/>
    <col width="29.88671875" bestFit="1" customWidth="1" style="191" min="5" max="5"/>
    <col width="29" bestFit="1" customWidth="1" style="191" min="6" max="6"/>
    <col width="34" customWidth="1" style="191" min="7" max="7"/>
    <col width="9.33203125" bestFit="1" customWidth="1" style="191" min="8" max="8"/>
    <col width="21.77734375" bestFit="1" customWidth="1" style="191" min="9" max="9"/>
  </cols>
  <sheetData>
    <row r="1">
      <c r="A1" s="205" t="inlineStr">
        <is>
          <t>BLACK BOX LTD - DETAILED ASSUMPTIONS &amp; RESEARCH SUPPORT</t>
        </is>
      </c>
    </row>
    <row r="2">
      <c r="A2" s="203" t="inlineStr">
        <is>
          <t>A. REVENUE &amp; GROWTH DRIVERS</t>
        </is>
      </c>
    </row>
    <row r="3">
      <c r="A3" s="187" t="inlineStr">
        <is>
          <t>Assumption</t>
        </is>
      </c>
      <c r="B3" s="187" t="inlineStr">
        <is>
          <t>Model value</t>
        </is>
      </c>
      <c r="C3" s="187" t="inlineStr">
        <is>
          <t>Historical trend</t>
        </is>
      </c>
      <c r="D3" s="187" t="inlineStr">
        <is>
          <t>Research &amp; industry evidence</t>
        </is>
      </c>
      <c r="E3" s="187" t="inlineStr">
        <is>
          <t>Management commentary</t>
        </is>
      </c>
      <c r="F3" s="187" t="inlineStr">
        <is>
          <t>Govt policy / competitive benchmark</t>
        </is>
      </c>
      <c r="G3" s="187" t="inlineStr">
        <is>
          <t>Why reasonable &amp; valuation impact</t>
        </is>
      </c>
      <c r="H3" s="187" t="inlineStr">
        <is>
          <t>Conf.</t>
        </is>
      </c>
      <c r="I3" s="187" t="inlineStr">
        <is>
          <t>Source - Date</t>
        </is>
      </c>
    </row>
    <row r="4" ht="60" customHeight="1" s="191">
      <c r="A4" s="188" t="inlineStr">
        <is>
          <t>Organic revenue growth %</t>
        </is>
      </c>
      <c r="B4" s="189" t="inlineStr">
        <is>
          <t>FY27E +13% tapering to +9% by FY32E</t>
        </is>
      </c>
      <c r="C4" s="189" t="inlineStr">
        <is>
          <t>Revenue ~flat at ~Rs6,000cr FY22-26 (FY24 6,282 -&gt; FY26 6,322); FY26 +6%</t>
        </is>
      </c>
      <c r="D4" s="189" t="inlineStr">
        <is>
          <t>AI/DC capex supercycle (global DC capex ~$430bn 2024 -&gt; ~$1.1tn 2029); enterprise refresh</t>
        </is>
      </c>
      <c r="E4" s="189" t="inlineStr">
        <is>
          <t>Mgmt targets US$1.3bn organic (~17% CAGR) within US$2bn-by-FY30 plan</t>
        </is>
      </c>
      <c r="F4" s="189" t="inlineStr">
        <is>
          <t>WESCO/Anixter, Kyndryl in same layer</t>
        </is>
      </c>
      <c r="G4" s="189" t="inlineStr">
        <is>
          <t>Set BELOW mgmt implied ~17% - reflects unproven organic track record &amp; backlog-conversion risk; top value driver</t>
        </is>
      </c>
      <c r="H4" s="189" t="inlineStr">
        <is>
          <t>Medium</t>
        </is>
      </c>
      <c r="I4" s="189" t="inlineStr">
        <is>
          <t>BB Q1FY27 pres; industry (NetworkWorld/IDC) - 2026</t>
        </is>
      </c>
    </row>
    <row r="5" ht="36" customHeight="1" s="191">
      <c r="A5" s="188" t="inlineStr">
        <is>
          <t>Inorganic (acquired) revenue</t>
        </is>
      </c>
      <c r="B5" s="189" t="inlineStr">
        <is>
          <t>Rs500cr FY27 (2S Brazil) then Rs200-400cr/yr; ~Rs2,100cr cumulative</t>
        </is>
      </c>
      <c r="C5" s="189" t="inlineStr">
        <is>
          <t>First sizeable M&amp;A = 2S (Brazil), ~Rs500cr, ~5-5.5x EBITDA</t>
        </is>
      </c>
      <c r="D5" s="189" t="inlineStr">
        <is>
          <t>Fragmented integrator market enables bolt-ons</t>
        </is>
      </c>
      <c r="E5" s="189" t="inlineStr">
        <is>
          <t>Mgmt aspires ~Rs6,000cr (US$700mn) inorganic by FY30</t>
        </is>
      </c>
      <c r="F5" s="189" t="inlineStr">
        <is>
          <t>Serial acquirers (WESCO) as model</t>
        </is>
      </c>
      <c r="G5" s="189" t="inlineStr">
        <is>
          <t>Modelled WELL BELOW ~Rs6,000cr aspiration - serial M&amp;A unproven at scale; execution/integration risk</t>
        </is>
      </c>
      <c r="H5" s="189" t="inlineStr">
        <is>
          <t>Low-Medium</t>
        </is>
      </c>
      <c r="I5" s="189" t="inlineStr">
        <is>
          <t>BB Q3FY26 call; Q1FY27 pres - 2026</t>
        </is>
      </c>
    </row>
    <row r="6" ht="36" customHeight="1" s="191">
      <c r="A6" s="188" t="inlineStr">
        <is>
          <t>Segment mix (GSI / TPS / Other)</t>
        </is>
      </c>
      <c r="B6" s="189" t="inlineStr">
        <is>
          <t>GSI ~84% / TPS ~14% / Other ~2% (held ~stable)</t>
        </is>
      </c>
      <c r="C6" s="189" t="inlineStr">
        <is>
          <t>FY26 disclosed 84/14/2</t>
        </is>
      </c>
      <c r="D6" s="189" t="inlineStr">
        <is>
          <t>GSI = services (DC, connectivity, networking, workplace, cyber); TPS = KVM/AV products</t>
        </is>
      </c>
      <c r="E6" s="189" t="inlineStr">
        <is>
          <t>Mgmt: GSI is the growth engine</t>
        </is>
      </c>
      <c r="F6" s="189" t="inlineStr">
        <is>
          <t>n/a</t>
        </is>
      </c>
      <c r="G6" s="189" t="inlineStr">
        <is>
          <t>Mix stable; TPS higher-margin, GSI faster-growing (offset)</t>
        </is>
      </c>
      <c r="H6" s="189" t="inlineStr">
        <is>
          <t>Medium</t>
        </is>
      </c>
      <c r="I6" s="189" t="inlineStr">
        <is>
          <t>BB FY26 pres p.26-27</t>
        </is>
      </c>
    </row>
    <row r="7" ht="48" customHeight="1" s="191">
      <c r="A7" s="188" t="inlineStr">
        <is>
          <t>Data-centre revenue mix %</t>
        </is>
      </c>
      <c r="B7" s="189" t="inlineStr">
        <is>
          <t>17% (FY26) -&gt; ~30% (FY27E)</t>
        </is>
      </c>
      <c r="C7" s="189" t="inlineStr">
        <is>
          <t>DC ~17% of FY26</t>
        </is>
      </c>
      <c r="D7" s="189" t="inlineStr">
        <is>
          <t>Hyperscaler capex $600-900bn 2026; each GW needs fibre/cabling/deploy</t>
        </is>
      </c>
      <c r="E7" s="189" t="inlineStr">
        <is>
          <t>Mgmt guides DC ~30% of FY27</t>
        </is>
      </c>
      <c r="F7" s="189" t="inlineStr">
        <is>
          <t>WESCO DC momentum</t>
        </is>
      </c>
      <c r="G7" s="189" t="inlineStr">
        <is>
          <t>Rising DC mix is LOWER gross margin than products/managed svcs - a margin headwind, not tailwind</t>
        </is>
      </c>
      <c r="H7" s="189" t="inlineStr">
        <is>
          <t>Medium</t>
        </is>
      </c>
      <c r="I7" s="189" t="inlineStr">
        <is>
          <t>BB Q1FY27 pres</t>
        </is>
      </c>
    </row>
    <row r="8" ht="36" customHeight="1" s="191">
      <c r="A8" s="188" t="inlineStr">
        <is>
          <t>Managed services / recurring %</t>
        </is>
      </c>
      <c r="B8" s="189" t="inlineStr">
        <is>
          <t>~30%+ of revenue (rising)</t>
        </is>
      </c>
      <c r="C8" s="189" t="inlineStr">
        <is>
          <t>&gt;30% by FY25/FY26</t>
        </is>
      </c>
      <c r="D8" s="189" t="inlineStr">
        <is>
          <t>Day-2 annuity attach on projects ~10-15%</t>
        </is>
      </c>
      <c r="E8" s="189" t="inlineStr">
        <is>
          <t>Mgmt: converting projects to annuities (airports, healthcare, hyperscaler)</t>
        </is>
      </c>
      <c r="F8" s="189" t="inlineStr">
        <is>
          <t>n/a</t>
        </is>
      </c>
      <c r="G8" s="189" t="inlineStr">
        <is>
          <t>Higher recurring mix improves visibility &amp; multiple quality - key positive to monitor</t>
        </is>
      </c>
      <c r="H8" s="189" t="inlineStr">
        <is>
          <t>Medium</t>
        </is>
      </c>
      <c r="I8" s="189" t="inlineStr">
        <is>
          <t>BB FY25 AR; calls</t>
        </is>
      </c>
    </row>
    <row r="9" ht="24" customHeight="1" s="191">
      <c r="A9" s="188" t="inlineStr">
        <is>
          <t>Geographic mix</t>
        </is>
      </c>
      <c r="B9" s="189" t="inlineStr">
        <is>
          <t>NA ~69%, EU ~9%, APAC ~8%, India ~6%, LatAm ~6%, MEA ~2%</t>
        </is>
      </c>
      <c r="C9" s="189" t="inlineStr">
        <is>
          <t>NA-centric since 2019 Black Box Corp deal</t>
        </is>
      </c>
      <c r="D9" s="189" t="inlineStr">
        <is>
          <t>US AI/DC build-out concentrated; India margin-dilutive</t>
        </is>
      </c>
      <c r="E9" s="189" t="inlineStr">
        <is>
          <t>Mgmt scaling Europe/India/LatAm (2S)</t>
        </is>
      </c>
      <c r="F9" s="189" t="inlineStr">
        <is>
          <t>n/a</t>
        </is>
      </c>
      <c r="G9" s="189" t="inlineStr">
        <is>
          <t>94% non-INR =&gt; FX exposure; NA drives profit; India deliberately cautious on margin</t>
        </is>
      </c>
      <c r="H9" s="189" t="inlineStr">
        <is>
          <t>Medium</t>
        </is>
      </c>
      <c r="I9" s="189" t="inlineStr">
        <is>
          <t>BB Q1FY27 pres</t>
        </is>
      </c>
    </row>
    <row r="10" ht="13.8" customFormat="1" customHeight="1" s="2">
      <c r="A10" s="203" t="inlineStr">
        <is>
          <t>B. MARGINS, COSTS &amp; TAX</t>
        </is>
      </c>
    </row>
    <row r="11">
      <c r="A11" s="187" t="inlineStr">
        <is>
          <t>Assumption</t>
        </is>
      </c>
      <c r="B11" s="187" t="inlineStr">
        <is>
          <t>Model value</t>
        </is>
      </c>
      <c r="C11" s="187" t="inlineStr">
        <is>
          <t>Historical trend</t>
        </is>
      </c>
      <c r="D11" s="187" t="inlineStr">
        <is>
          <t>Research &amp; industry evidence</t>
        </is>
      </c>
      <c r="E11" s="187" t="inlineStr">
        <is>
          <t>Management commentary</t>
        </is>
      </c>
      <c r="F11" s="187" t="inlineStr">
        <is>
          <t>Govt policy / competitive benchmark</t>
        </is>
      </c>
      <c r="G11" s="187" t="inlineStr">
        <is>
          <t>Why reasonable &amp; valuation impact</t>
        </is>
      </c>
      <c r="H11" s="187" t="inlineStr">
        <is>
          <t>Conf.</t>
        </is>
      </c>
      <c r="I11" s="187" t="inlineStr">
        <is>
          <t>Source - Date</t>
        </is>
      </c>
    </row>
    <row r="12" ht="60" customHeight="1" s="191">
      <c r="A12" s="188" t="inlineStr">
        <is>
          <t>Cost of revenue % (gross margin)</t>
        </is>
      </c>
      <c r="B12" s="189" t="inlineStr">
        <is>
          <t>~69.5% cost (gross margin ~30.5% -&gt; 30.9%)</t>
        </is>
      </c>
      <c r="C12" s="189" t="inlineStr">
        <is>
          <t>Gross margin 26% (FY23) -&gt; 30.5% (FY26)</t>
        </is>
      </c>
      <c r="D12" s="189" t="inlineStr">
        <is>
          <t>Mix + offshoring (~20%) support GM; rising DC mix pressures it</t>
        </is>
      </c>
      <c r="E12" s="189" t="inlineStr">
        <is>
          <t>Mgmt guides gross margin ~30.5%</t>
        </is>
      </c>
      <c r="F12" s="189" t="inlineStr">
        <is>
          <t>Integrators run ~20-35% GM</t>
        </is>
      </c>
      <c r="G12" s="189" t="inlineStr">
        <is>
          <t>Held ~flat-to-slightly-up; conservative given DC-mix drag; each 100bps GM ~Rs60cr+ EBITDA</t>
        </is>
      </c>
      <c r="H12" s="189" t="inlineStr">
        <is>
          <t>Medium-High</t>
        </is>
      </c>
      <c r="I12" s="189" t="inlineStr">
        <is>
          <t>BB pres p.22</t>
        </is>
      </c>
    </row>
    <row r="13" ht="48" customHeight="1" s="191">
      <c r="A13" s="188" t="inlineStr">
        <is>
          <t>Operating expenses (SG&amp;A) % rev</t>
        </is>
      </c>
      <c r="B13" s="189" t="inlineStr">
        <is>
          <t>21.2% (FY27E) -&gt; 20.5% (FY32E)</t>
        </is>
      </c>
      <c r="C13" s="189" t="inlineStr">
        <is>
          <t>Total other expenses ~21.5% (FY26)</t>
        </is>
      </c>
      <c r="D13" s="189" t="inlineStr">
        <is>
          <t>Operating leverage on higher throughput + offshoring</t>
        </is>
      </c>
      <c r="E13" s="189" t="inlineStr">
        <is>
          <t>Mgmt: fixed-cost absorption drives 10% EBITDA</t>
        </is>
      </c>
      <c r="F13" s="189" t="inlineStr">
        <is>
          <t>n/a</t>
        </is>
      </c>
      <c r="G13" s="189" t="inlineStr">
        <is>
          <t>Modest opex leverage; the main margin lever (BB has no pricing power)</t>
        </is>
      </c>
      <c r="H13" s="189" t="inlineStr">
        <is>
          <t>Medium</t>
        </is>
      </c>
      <c r="I13" s="189" t="inlineStr">
        <is>
          <t>BB calls; model</t>
        </is>
      </c>
    </row>
    <row r="14" ht="60" customHeight="1" s="191">
      <c r="A14" s="188" t="inlineStr">
        <is>
          <t>EBITDA margin %</t>
        </is>
      </c>
      <c r="B14" s="189" t="inlineStr">
        <is>
          <t>9.3% (FY27E) -&gt; ~10.4% (FY32E)</t>
        </is>
      </c>
      <c r="C14" s="189" t="inlineStr">
        <is>
          <t>4.3% (FY23) -&gt; 9.0% (FY26)</t>
        </is>
      </c>
      <c r="D14" s="189" t="inlineStr">
        <is>
          <t>Operating leverage + offshoring; DC mix a drag</t>
        </is>
      </c>
      <c r="E14" s="189" t="inlineStr">
        <is>
          <t>Mgmt targets 10% by end-FY27</t>
        </is>
      </c>
      <c r="F14" s="189" t="inlineStr">
        <is>
          <t>WESCO ~7%, Kyndryl low</t>
        </is>
      </c>
      <c r="G14" s="189" t="inlineStr">
        <is>
          <t>Reaches ~10.4% - broadly in line with mgmt 10% target, capped (thin-margin, no pricing power)</t>
        </is>
      </c>
      <c r="H14" s="189" t="inlineStr">
        <is>
          <t>Medium</t>
        </is>
      </c>
      <c r="I14" s="189" t="inlineStr">
        <is>
          <t>BB Q1FY27 pres</t>
        </is>
      </c>
    </row>
    <row r="15" ht="24" customHeight="1" s="191">
      <c r="A15" s="188" t="inlineStr">
        <is>
          <t>Depreciation &amp; capex</t>
        </is>
      </c>
      <c r="B15" s="189" t="inlineStr">
        <is>
          <t>Dep ~13% of prior fixed assets; capex ~1.5-1.8% of revenue</t>
        </is>
      </c>
      <c r="C15" s="189" t="inlineStr">
        <is>
          <t>Dep Rs116cr (FY26); asset-light, capex small</t>
        </is>
      </c>
      <c r="D15" s="189" t="inlineStr">
        <is>
          <t>Ind-AS 116 ROU depreciation is large part of D&amp;A</t>
        </is>
      </c>
      <c r="E15" s="189" t="inlineStr">
        <is>
          <t>Mgmt: asset-light model</t>
        </is>
      </c>
      <c r="F15" s="189" t="inlineStr">
        <is>
          <t>n/a</t>
        </is>
      </c>
      <c r="G15" s="189" t="inlineStr">
        <is>
          <t>Low fixed-asset intensity; capex incl. lease/intangible additions</t>
        </is>
      </c>
      <c r="H15" s="189" t="inlineStr">
        <is>
          <t>Medium-High</t>
        </is>
      </c>
      <c r="I15" s="189" t="inlineStr">
        <is>
          <t>BB pres p.22-23</t>
        </is>
      </c>
    </row>
    <row r="16" ht="48" customHeight="1" s="191">
      <c r="A16" s="188" t="inlineStr">
        <is>
          <t>Effective tax rate</t>
        </is>
      </c>
      <c r="B16" s="189" t="inlineStr">
        <is>
          <t>Normalises 12% (FY27E) -&gt; 25% (FY32E, statutory)</t>
        </is>
      </c>
      <c r="C16" s="189" t="inlineStr">
        <is>
          <t>Reported ~3-10% (NOL-shielded)</t>
        </is>
      </c>
      <c r="D16" s="189" t="inlineStr">
        <is>
          <t>US + India NOLs deplete; converges to blended statutory ~25%</t>
        </is>
      </c>
      <c r="E16" s="189" t="inlineStr">
        <is>
          <t>Not explicitly guided</t>
        </is>
      </c>
      <c r="F16" s="189" t="inlineStr">
        <is>
          <t>India 25%, US ~21-25%</t>
        </is>
      </c>
      <c r="G16" s="189" t="inlineStr">
        <is>
          <t>AUDIT-DRIVEN: normalised toward statutory (best practice for terminal); conservative vs low reported rate</t>
        </is>
      </c>
      <c r="H16" s="189" t="inlineStr">
        <is>
          <t>Medium</t>
        </is>
      </c>
      <c r="I16" s="189" t="inlineStr">
        <is>
          <t>Filings; independent judgement</t>
        </is>
      </c>
    </row>
    <row r="17" ht="48" customHeight="1" s="191">
      <c r="A17" s="188" t="inlineStr">
        <is>
          <t>Finance cost / cost of funds</t>
        </is>
      </c>
      <c r="B17" s="189" t="inlineStr">
        <is>
          <t>~12% blended on borrowings (incl leases)</t>
        </is>
      </c>
      <c r="C17" s="189" t="inlineStr">
        <is>
          <t>Finance cost Rs158cr (FY26) incl lease interest + FX</t>
        </is>
      </c>
      <c r="D17" s="189" t="inlineStr">
        <is>
          <t>FY26 cost inflated by FX; assumes normalisation</t>
        </is>
      </c>
      <c r="E17" s="189" t="inlineStr">
        <is>
          <t>n/a</t>
        </is>
      </c>
      <c r="F17" s="189" t="inlineStr">
        <is>
          <t>n/a</t>
        </is>
      </c>
      <c r="G17" s="189" t="inlineStr">
        <is>
          <t>Bumped to 12% to capture lease + borrowing cost (ex one-off FX)</t>
        </is>
      </c>
      <c r="H17" s="189" t="inlineStr">
        <is>
          <t>Medium</t>
        </is>
      </c>
      <c r="I17" s="189" t="inlineStr">
        <is>
          <t>BB pres; model</t>
        </is>
      </c>
    </row>
    <row r="18" ht="24" customHeight="1" s="191">
      <c r="A18" s="188" t="inlineStr">
        <is>
          <t>EPS trajectory / shares</t>
        </is>
      </c>
      <c r="B18" s="189" t="inlineStr">
        <is>
          <t>Shares 18.0cr (eq. cap Rs36cr / Rs2); EPS grows w/ PAT &amp; tax normalisation</t>
        </is>
      </c>
      <c r="C18" s="189" t="inlineStr">
        <is>
          <t>FY26 EPS Rs12.78 (~17.1cr wtd avg)</t>
        </is>
      </c>
      <c r="D18" s="189" t="inlineStr">
        <is>
          <t>Year-end diluted ~18.0cr post warrant conversion</t>
        </is>
      </c>
      <c r="E18" s="189" t="inlineStr">
        <is>
          <t>Preferential warrants converted (Rs417)</t>
        </is>
      </c>
      <c r="F18" s="189" t="inlineStr">
        <is>
          <t>n/a</t>
        </is>
      </c>
      <c r="G18" s="189" t="inlineStr">
        <is>
          <t>Uses ~18.0cr diluted; PAT growth partly offset by tax normalisation</t>
        </is>
      </c>
      <c r="H18" s="189" t="inlineStr">
        <is>
          <t>Medium-High</t>
        </is>
      </c>
      <c r="I18" s="189" t="inlineStr">
        <is>
          <t>BB pres p.22-23</t>
        </is>
      </c>
    </row>
    <row r="19" ht="13.8" customFormat="1" customHeight="1" s="2">
      <c r="A19" s="203" t="inlineStr">
        <is>
          <t>C. WORKING CAPITAL, CAPEX &amp; BALANCE SHEET</t>
        </is>
      </c>
    </row>
    <row r="20">
      <c r="A20" s="187" t="inlineStr">
        <is>
          <t>Assumption</t>
        </is>
      </c>
      <c r="B20" s="187" t="inlineStr">
        <is>
          <t>Model value</t>
        </is>
      </c>
      <c r="C20" s="187" t="inlineStr">
        <is>
          <t>Historical trend</t>
        </is>
      </c>
      <c r="D20" s="187" t="inlineStr">
        <is>
          <t>Research &amp; industry evidence</t>
        </is>
      </c>
      <c r="E20" s="187" t="inlineStr">
        <is>
          <t>Management commentary</t>
        </is>
      </c>
      <c r="F20" s="187" t="inlineStr">
        <is>
          <t>Govt policy / competitive benchmark</t>
        </is>
      </c>
      <c r="G20" s="187" t="inlineStr">
        <is>
          <t>Why reasonable &amp; valuation impact</t>
        </is>
      </c>
      <c r="H20" s="187" t="inlineStr">
        <is>
          <t>Conf.</t>
        </is>
      </c>
      <c r="I20" s="187" t="inlineStr">
        <is>
          <t>Source - Date</t>
        </is>
      </c>
    </row>
    <row r="21" ht="48" customHeight="1" s="191">
      <c r="A21" s="188" t="inlineStr">
        <is>
          <t>DSO (receivable days)</t>
        </is>
      </c>
      <c r="B21" s="189" t="inlineStr">
        <is>
          <t>62 (FY27E) easing to 55 (FY32E)</t>
        </is>
      </c>
      <c r="C21" s="189" t="inlineStr">
        <is>
          <t>DSO jumped to ~67 (FY26) from ~35 (FY25)</t>
        </is>
      </c>
      <c r="D21" s="189" t="inlineStr">
        <is>
          <t>Month-end-skewed billing; OEM-supply-linked invoicing</t>
        </is>
      </c>
      <c r="E21" s="189" t="inlineStr">
        <is>
          <t>Mgmt claims normalised DSO ~55-60</t>
        </is>
      </c>
      <c r="F21" s="189" t="inlineStr">
        <is>
          <t>n/a</t>
        </is>
      </c>
      <c r="G21" s="189" t="inlineStr">
        <is>
          <t>Kept ELEVATED &amp; only gradually normalising - FY26 spike is a red flag; high DSO consumes cash</t>
        </is>
      </c>
      <c r="H21" s="189" t="inlineStr">
        <is>
          <t>Medium</t>
        </is>
      </c>
      <c r="I21" s="189" t="inlineStr">
        <is>
          <t>BB Q2/Q3FY26 calls</t>
        </is>
      </c>
    </row>
    <row r="22" ht="36" customHeight="1" s="191">
      <c r="A22" s="188" t="inlineStr">
        <is>
          <t>Inventory (19d), DPO (46d), contract assets/liab</t>
        </is>
      </c>
      <c r="B22" s="189" t="inlineStr">
        <is>
          <t>Inventory ~19d; DPO ~46d; contract A/L scale with revenue</t>
        </is>
      </c>
      <c r="C22" s="189" t="inlineStr">
        <is>
          <t>FY26: inv ~19d, payables ~46d (on revenue); contract assets Rs280cr, liab Rs576cr</t>
        </is>
      </c>
      <c r="D22" s="189" t="inlineStr">
        <is>
          <t>Wind River licence pre-buy lifted inventory</t>
        </is>
      </c>
      <c r="E22" s="189" t="inlineStr">
        <is>
          <t>Mgmt: efficient WC</t>
        </is>
      </c>
      <c r="F22" s="189" t="inlineStr">
        <is>
          <t>n/a</t>
        </is>
      </c>
      <c r="G22" s="189" t="inlineStr">
        <is>
          <t>Growth consumes ~0.2-0.3x revenue in WC - the structural cash constraint</t>
        </is>
      </c>
      <c r="H22" s="189" t="inlineStr">
        <is>
          <t>Medium</t>
        </is>
      </c>
      <c r="I22" s="189" t="inlineStr">
        <is>
          <t>BB pres p.23; calls</t>
        </is>
      </c>
    </row>
    <row r="23" ht="48" customHeight="1" s="191">
      <c r="A23" s="188" t="inlineStr">
        <is>
          <t>Capex (incl. ROU/lease &amp; intangible additions)</t>
        </is>
      </c>
      <c r="B23" s="189" t="inlineStr">
        <is>
          <t>~1.1-1.3% of revenue</t>
        </is>
      </c>
      <c r="C23" s="189" t="inlineStr">
        <is>
          <t>Pure cash capex ~0.7-1.0% (FY25 Rs44cr=0.7%); + ROU/intangible additions</t>
        </is>
      </c>
      <c r="D23" s="189" t="inlineStr">
        <is>
          <t>Ind-AS 116 leases: depreciation incl ROU amortisation, so investment line incl lease/intangible additions</t>
        </is>
      </c>
      <c r="E23" s="189" t="inlineStr">
        <is>
          <t>Mgmt: asset-light</t>
        </is>
      </c>
      <c r="F23" s="189" t="inlineStr">
        <is>
          <t>n/a</t>
        </is>
      </c>
      <c r="G23" s="189" t="inlineStr">
        <is>
          <t>AUDIT-DRIVEN: reduced &amp; reclassified; pure cash capex low, balance is ROU/intangibles to keep FA roll-forward consistent</t>
        </is>
      </c>
      <c r="H23" s="189" t="inlineStr">
        <is>
          <t>Medium</t>
        </is>
      </c>
      <c r="I23" s="189" t="inlineStr">
        <is>
          <t>FY25 cash flow; independent judgement</t>
        </is>
      </c>
    </row>
    <row r="24" ht="24" customHeight="1" s="191">
      <c r="A24" s="188" t="inlineStr">
        <is>
          <t>Net debt / borrowings</t>
        </is>
      </c>
      <c r="B24" s="189" t="inlineStr">
        <is>
          <t>Net debt ~Rs287cr (borrowings 827 - cash 540); borrowings grow ~5-8%/yr</t>
        </is>
      </c>
      <c r="C24" s="189" t="inlineStr">
        <is>
          <t>FY26 borrowings Rs827cr + leases Rs326cr; cash Rs540cr</t>
        </is>
      </c>
      <c r="D24" s="189" t="inlineStr">
        <is>
          <t>M&amp;A partly debt-funded; leverage target &lt;1.5-2x</t>
        </is>
      </c>
      <c r="E24" s="189" t="inlineStr">
        <is>
          <t>Mgmt: prudent leverage</t>
        </is>
      </c>
      <c r="F24" s="189" t="inlineStr">
        <is>
          <t>n/a</t>
        </is>
      </c>
      <c r="G24" s="189" t="inlineStr">
        <is>
          <t>Modest net debt; conservatively excludes current financial assets (Rs543cr) from cash</t>
        </is>
      </c>
      <c r="H24" s="189" t="inlineStr">
        <is>
          <t>Medium-High</t>
        </is>
      </c>
      <c r="I24" s="189" t="inlineStr">
        <is>
          <t>BB pres p.23; independent judgement</t>
        </is>
      </c>
    </row>
    <row r="25" ht="13.8" customFormat="1" customHeight="1" s="2">
      <c r="A25" s="203" t="inlineStr">
        <is>
          <t>D. DCF / WACC &amp; TERMINAL VALUE</t>
        </is>
      </c>
    </row>
    <row r="26">
      <c r="A26" s="187" t="inlineStr">
        <is>
          <t>Assumption</t>
        </is>
      </c>
      <c r="B26" s="187" t="inlineStr">
        <is>
          <t>Model value</t>
        </is>
      </c>
      <c r="C26" s="187" t="inlineStr">
        <is>
          <t>Historical trend</t>
        </is>
      </c>
      <c r="D26" s="187" t="inlineStr">
        <is>
          <t>Research &amp; industry evidence</t>
        </is>
      </c>
      <c r="E26" s="187" t="inlineStr">
        <is>
          <t>Management commentary</t>
        </is>
      </c>
      <c r="F26" s="187" t="inlineStr">
        <is>
          <t>Govt policy / competitive benchmark</t>
        </is>
      </c>
      <c r="G26" s="187" t="inlineStr">
        <is>
          <t>Why reasonable &amp; valuation impact</t>
        </is>
      </c>
      <c r="H26" s="187" t="inlineStr">
        <is>
          <t>Conf.</t>
        </is>
      </c>
      <c r="I26" s="187" t="inlineStr">
        <is>
          <t>Source - Date</t>
        </is>
      </c>
    </row>
    <row r="27" ht="24" customHeight="1" s="191">
      <c r="A27" s="188" t="inlineStr">
        <is>
          <t>Risk-free rate</t>
        </is>
      </c>
      <c r="B27" s="189" t="inlineStr">
        <is>
          <t>6.8%</t>
        </is>
      </c>
      <c r="C27" s="189" t="inlineStr">
        <is>
          <t>India 10Y G-sec ~6.8-6.9% (2026)</t>
        </is>
      </c>
      <c r="D27" s="189" t="inlineStr">
        <is>
          <t>On-the-run 10Y; INR DCF</t>
        </is>
      </c>
      <c r="E27" s="189" t="inlineStr">
        <is>
          <t>RBI easing bias</t>
        </is>
      </c>
      <c r="F27" s="189" t="inlineStr">
        <is>
          <t>Sovereign benchmark</t>
        </is>
      </c>
      <c r="G27" s="189" t="inlineStr">
        <is>
          <t>Current, market-based</t>
        </is>
      </c>
      <c r="H27" s="189" t="inlineStr">
        <is>
          <t>High</t>
        </is>
      </c>
      <c r="I27" s="189" t="inlineStr">
        <is>
          <t>ET bond market - 2026</t>
        </is>
      </c>
    </row>
    <row r="28" ht="36" customHeight="1" s="191">
      <c r="A28" s="188" t="inlineStr">
        <is>
          <t>Equity risk premium</t>
        </is>
      </c>
      <c r="B28" s="189" t="inlineStr">
        <is>
          <t>7.0%</t>
        </is>
      </c>
      <c r="C28" s="189" t="inlineStr">
        <is>
          <t>India ERP ~6-7.5%</t>
        </is>
      </c>
      <c r="D28" s="189" t="inlineStr">
        <is>
          <t>Mid-range India ERP</t>
        </is>
      </c>
      <c r="E28" s="189" t="inlineStr">
        <is>
          <t>n/a</t>
        </is>
      </c>
      <c r="F28" s="189" t="inlineStr">
        <is>
          <t>Standard India</t>
        </is>
      </c>
      <c r="G28" s="189" t="inlineStr">
        <is>
          <t>7.0% (vs auto template 6.5%) reflects BB higher risk</t>
        </is>
      </c>
      <c r="H28" s="189" t="inlineStr">
        <is>
          <t>Medium</t>
        </is>
      </c>
      <c r="I28" s="189" t="inlineStr">
        <is>
          <t>Damodaran 2025/26</t>
        </is>
      </c>
    </row>
    <row r="29" ht="24" customHeight="1" s="191">
      <c r="A29" s="188" t="inlineStr">
        <is>
          <t>Beta</t>
        </is>
      </c>
      <c r="B29" s="189" t="inlineStr">
        <is>
          <t>1.10 (moderated from 1.30)</t>
        </is>
      </c>
      <c r="C29" s="189" t="inlineStr">
        <is>
          <t>Small-cap, cyclical, promoter overhang</t>
        </is>
      </c>
      <c r="D29" s="189" t="inlineStr">
        <is>
          <t>Sector integrator betas ~0.9-1.2</t>
        </is>
      </c>
      <c r="E29" s="189" t="inlineStr">
        <is>
          <t>n/a</t>
        </is>
      </c>
      <c r="F29" s="189" t="inlineStr">
        <is>
          <t>Auto ~0.95</t>
        </is>
      </c>
      <c r="G29" s="189" t="inlineStr">
        <is>
          <t>AUDIT-DRIVEN: moderated toward sector norms; Ke = 6.8% + 1.10x7.0% = 14.5%</t>
        </is>
      </c>
      <c r="H29" s="189" t="inlineStr">
        <is>
          <t>Medium</t>
        </is>
      </c>
      <c r="I29" s="189" t="inlineStr">
        <is>
          <t>Independent judgement</t>
        </is>
      </c>
    </row>
    <row r="30" ht="36" customHeight="1" s="191">
      <c r="A30" s="188" t="inlineStr">
        <is>
          <t>WACC</t>
        </is>
      </c>
      <c r="B30" s="189" t="inlineStr">
        <is>
          <t>~13.9% (was 15.2%)</t>
        </is>
      </c>
      <c r="C30" s="189" t="inlineStr">
        <is>
          <t>Ke 14.5%; after-tax Kd ~7.3%; weights 92/8</t>
        </is>
      </c>
      <c r="D30" s="189" t="inlineStr">
        <is>
          <t>Moved toward institutional norms (audit 11-13%)</t>
        </is>
      </c>
      <c r="E30" s="189" t="inlineStr">
        <is>
          <t>n/a</t>
        </is>
      </c>
      <c r="F30" s="189" t="inlineStr">
        <is>
          <t>India small/mid-cap DCFs 12-14%</t>
        </is>
      </c>
      <c r="G30" s="189" t="inlineStr">
        <is>
          <t>AUDIT-DRIVEN: moderated; still a modest risk premium for size/governance</t>
        </is>
      </c>
      <c r="H30" s="189" t="inlineStr">
        <is>
          <t>High</t>
        </is>
      </c>
      <c r="I30" s="189" t="inlineStr">
        <is>
          <t>DCF sheet</t>
        </is>
      </c>
    </row>
    <row r="31" ht="48" customHeight="1" s="191">
      <c r="A31" s="188" t="inlineStr">
        <is>
          <t>Terminal growth</t>
        </is>
      </c>
      <c r="B31" s="189" t="inlineStr">
        <is>
          <t>5.0% (was 6%)</t>
        </is>
      </c>
      <c r="C31" s="189" t="inlineStr">
        <is>
          <t>~4% USD nominal + INR depreciation</t>
        </is>
      </c>
      <c r="D31" s="189" t="inlineStr">
        <is>
          <t>Below India nominal GDP; USD-centric mature integrator</t>
        </is>
      </c>
      <c r="E31" s="189" t="inlineStr">
        <is>
          <t>n/a</t>
        </is>
      </c>
      <c r="F31" s="189" t="inlineStr">
        <is>
          <t>Mature-franchise terminal</t>
        </is>
      </c>
      <c r="G31" s="189" t="inlineStr">
        <is>
          <t>AUDIT-DRIVEN: lowered to conservative 5%; mid-year convention added</t>
        </is>
      </c>
      <c r="H31" s="189" t="inlineStr">
        <is>
          <t>Medium</t>
        </is>
      </c>
      <c r="I31" s="189" t="inlineStr">
        <is>
          <t>Independent judgement</t>
        </is>
      </c>
    </row>
    <row r="32" ht="36" customHeight="1" s="191">
      <c r="A32" s="188" t="inlineStr">
        <is>
          <t>DCF value / share</t>
        </is>
      </c>
      <c r="B32" s="189" t="inlineStr">
        <is>
          <t>See DCF!C41</t>
        </is>
      </c>
      <c r="C32" s="189" t="inlineStr">
        <is>
          <t>FCFF FY27E-FY32E + TV</t>
        </is>
      </c>
      <c r="D32" s="189" t="inlineStr">
        <is>
          <t>Conservative anchor; well below current price</t>
        </is>
      </c>
      <c r="E32" s="189" t="inlineStr">
        <is>
          <t>n/a</t>
        </is>
      </c>
      <c r="F32" s="189" t="inlineStr">
        <is>
          <t>Reflects 15.1% WACC / 6% g</t>
        </is>
      </c>
      <c r="G32" s="189" t="inlineStr">
        <is>
          <t>The disciplined floor (40% blend weight)</t>
        </is>
      </c>
      <c r="H32" s="189" t="inlineStr">
        <is>
          <t>Medium</t>
        </is>
      </c>
      <c r="I32" s="189" t="inlineStr">
        <is>
          <t>DCF sheet</t>
        </is>
      </c>
    </row>
    <row r="33" ht="13.8" customFormat="1" customHeight="1" s="2">
      <c r="A33" s="203" t="inlineStr">
        <is>
          <t>E. RELATIVE VALUATION</t>
        </is>
      </c>
    </row>
    <row r="34">
      <c r="A34" s="187" t="inlineStr">
        <is>
          <t>Assumption</t>
        </is>
      </c>
      <c r="B34" s="187" t="inlineStr">
        <is>
          <t>Model value</t>
        </is>
      </c>
      <c r="C34" s="187" t="inlineStr">
        <is>
          <t>Historical trend</t>
        </is>
      </c>
      <c r="D34" s="187" t="inlineStr">
        <is>
          <t>Research &amp; industry evidence</t>
        </is>
      </c>
      <c r="E34" s="187" t="inlineStr">
        <is>
          <t>Management commentary</t>
        </is>
      </c>
      <c r="F34" s="187" t="inlineStr">
        <is>
          <t>Govt policy / competitive benchmark</t>
        </is>
      </c>
      <c r="G34" s="187" t="inlineStr">
        <is>
          <t>Why reasonable &amp; valuation impact</t>
        </is>
      </c>
      <c r="H34" s="187" t="inlineStr">
        <is>
          <t>Conf.</t>
        </is>
      </c>
      <c r="I34" s="187" t="inlineStr">
        <is>
          <t>Source - Date</t>
        </is>
      </c>
    </row>
    <row r="35" ht="36" customHeight="1" s="191">
      <c r="A35" s="188" t="inlineStr">
        <is>
          <t>Peer set</t>
        </is>
      </c>
      <c r="B35" s="189" t="inlineStr">
        <is>
          <t>WESCO, Kyndryl, Redington, Tata Comm, Mastek, Happiest Minds</t>
        </is>
      </c>
      <c r="C35" s="189" t="inlineStr">
        <is>
          <t>Peer median P/E ~26x, EV/EBITDA ~9x; BB ~46-65x</t>
        </is>
      </c>
      <c r="D35" s="189" t="inlineStr">
        <is>
          <t>AUDIT-DRIVEN: spans global economic analogs + Indian listed tech/infra</t>
        </is>
      </c>
      <c r="E35" s="189" t="inlineStr">
        <is>
          <t>n/a</t>
        </is>
      </c>
      <c r="F35" s="189" t="inlineStr">
        <is>
          <t>Tata Comm/Mastek/Happiest Minds add Indian context</t>
        </is>
      </c>
      <c r="G35" s="189" t="inlineStr">
        <is>
          <t>Balanced set on business economics &amp; listing market; BB a clear premium</t>
        </is>
      </c>
      <c r="H35" s="189" t="inlineStr">
        <is>
          <t>Medium-High</t>
        </is>
      </c>
      <c r="I35" s="189" t="inlineStr">
        <is>
          <t>Yahoo/BSE/company - Aug-2026 (approx; refresh)</t>
        </is>
      </c>
    </row>
    <row r="36" ht="36" customHeight="1" s="191">
      <c r="A36" s="188" t="inlineStr">
        <is>
          <t>FY27E EPS (relative base)</t>
        </is>
      </c>
      <c r="B36" s="189">
        <f> Forecast!D49</f>
        <v/>
      </c>
      <c r="C36" s="189" t="inlineStr">
        <is>
          <t>FY26 EPS ~Rs12.78</t>
        </is>
      </c>
      <c r="D36" s="189" t="inlineStr">
        <is>
          <t>Consol PAT / 18.0cr shares (incl tax normalisation)</t>
        </is>
      </c>
      <c r="E36" s="189" t="inlineStr">
        <is>
          <t>n/a</t>
        </is>
      </c>
      <c r="F36" s="189" t="inlineStr">
        <is>
          <t>Drives target-price application</t>
        </is>
      </c>
      <c r="G36" s="189" t="inlineStr">
        <is>
          <t>Most sensitive to organic growth, margin &amp; tax assumptions</t>
        </is>
      </c>
      <c r="H36" s="189" t="inlineStr">
        <is>
          <t>Medium</t>
        </is>
      </c>
      <c r="I36" s="189" t="inlineStr">
        <is>
          <t>Model Forecast/Relative</t>
        </is>
      </c>
    </row>
    <row r="37" ht="60" customHeight="1" s="191">
      <c r="A37" s="188" t="inlineStr">
        <is>
          <t>Target P/E multiple</t>
        </is>
      </c>
      <c r="B37" s="189" t="inlineStr">
        <is>
          <t>Bear 18x / Base 25x / Bull 32x on FY27E EPS</t>
        </is>
      </c>
      <c r="C37" s="189" t="inlineStr">
        <is>
          <t>Peer median ~17-18x; BB trades ~65-70x</t>
        </is>
      </c>
      <c r="D37" s="189" t="inlineStr">
        <is>
          <t>Premium to peers for growth/DC exposure</t>
        </is>
      </c>
      <c r="E37" s="189" t="inlineStr">
        <is>
          <t>n/a</t>
        </is>
      </c>
      <c r="F37" s="189" t="inlineStr">
        <is>
          <t>WESCO 22x; Redington 16x; HCLT 19x</t>
        </is>
      </c>
      <c r="G37" s="189" t="inlineStr">
        <is>
          <t>A GROWTH PREMIUM to peers but a large DISCOUNT to BBs current ~65-70x (partial mean-reversion)</t>
        </is>
      </c>
      <c r="H37" s="189" t="inlineStr">
        <is>
          <t>Medium</t>
        </is>
      </c>
      <c r="I37" s="189" t="inlineStr">
        <is>
          <t>Peer multiples - 2026</t>
        </is>
      </c>
    </row>
    <row r="38" ht="24" customHeight="1" s="191">
      <c r="A38" s="188" t="inlineStr">
        <is>
          <t>EV/EBITDA (cross-check)</t>
        </is>
      </c>
      <c r="B38" s="189" t="inlineStr">
        <is>
          <t>15x FY27E EBITDA</t>
        </is>
      </c>
      <c r="C38" s="189" t="inlineStr">
        <is>
          <t>BB ~25-27x EV/EBITDA currently</t>
        </is>
      </c>
      <c r="D38" s="189" t="inlineStr">
        <is>
          <t>Third method; net debt Rs287cr</t>
        </is>
      </c>
      <c r="E38" s="189" t="inlineStr">
        <is>
          <t>n/a</t>
        </is>
      </c>
      <c r="F38" s="189" t="inlineStr">
        <is>
          <t>WESCO ~13x; Kyndryl ~5.5x</t>
        </is>
      </c>
      <c r="G38" s="189" t="inlineStr">
        <is>
          <t>Sanity check on P/E method; de-emphasised (20% weight)</t>
        </is>
      </c>
      <c r="H38" s="189" t="inlineStr">
        <is>
          <t>Medium</t>
        </is>
      </c>
      <c r="I38" s="189" t="inlineStr">
        <is>
          <t>Relative/Summary sheets</t>
        </is>
      </c>
    </row>
    <row r="39" ht="13.8" customFormat="1" customHeight="1" s="2">
      <c r="A39" s="203" t="inlineStr">
        <is>
          <t>F. EV/EBITDA CROSS-CHECK, BLEND &amp; RECOMMENDATION</t>
        </is>
      </c>
    </row>
    <row r="40">
      <c r="A40" s="187" t="inlineStr">
        <is>
          <t>Assumption</t>
        </is>
      </c>
      <c r="B40" s="187" t="inlineStr">
        <is>
          <t>Model value</t>
        </is>
      </c>
      <c r="C40" s="187" t="inlineStr">
        <is>
          <t>Historical trend</t>
        </is>
      </c>
      <c r="D40" s="187" t="inlineStr">
        <is>
          <t>Research &amp; industry evidence</t>
        </is>
      </c>
      <c r="E40" s="187" t="inlineStr">
        <is>
          <t>Management commentary</t>
        </is>
      </c>
      <c r="F40" s="187" t="inlineStr">
        <is>
          <t>Govt policy / competitive benchmark</t>
        </is>
      </c>
      <c r="G40" s="187" t="inlineStr">
        <is>
          <t>Why reasonable &amp; valuation impact</t>
        </is>
      </c>
      <c r="H40" s="187" t="inlineStr">
        <is>
          <t>Conf.</t>
        </is>
      </c>
      <c r="I40" s="187" t="inlineStr">
        <is>
          <t>Source - Date</t>
        </is>
      </c>
    </row>
    <row r="41" ht="60" customHeight="1" s="191">
      <c r="A41" s="188" t="inlineStr">
        <is>
          <t>EV/EBITDA method</t>
        </is>
      </c>
      <c r="B41" s="189" t="inlineStr">
        <is>
          <t>See Summary!B10</t>
        </is>
      </c>
      <c r="C41" s="189" t="inlineStr">
        <is>
          <t>FY27E EBITDA x 15 - net debt / shares</t>
        </is>
      </c>
      <c r="D41" s="189" t="inlineStr">
        <is>
          <t>n/a</t>
        </is>
      </c>
      <c r="E41" s="189" t="inlineStr">
        <is>
          <t>n/a</t>
        </is>
      </c>
      <c r="F41" s="189" t="inlineStr">
        <is>
          <t>n/a</t>
        </is>
      </c>
      <c r="G41" s="189" t="inlineStr">
        <is>
          <t>Corroborates relative &amp; DCF</t>
        </is>
      </c>
      <c r="H41" s="189" t="inlineStr">
        <is>
          <t>Medium</t>
        </is>
      </c>
      <c r="I41" s="189" t="inlineStr">
        <is>
          <t>Summary sheet</t>
        </is>
      </c>
    </row>
    <row r="42" ht="48" customHeight="1" s="191">
      <c r="A42" s="188" t="inlineStr">
        <is>
          <t>Blend weights</t>
        </is>
      </c>
      <c r="B42" s="189" t="inlineStr">
        <is>
          <t>DCF 40% / Relative 40% / EV-EBITDA 20%</t>
        </is>
      </c>
      <c r="C42" s="189" t="inlineStr">
        <is>
          <t>n/a</t>
        </is>
      </c>
      <c r="D42" s="189" t="inlineStr">
        <is>
          <t>Balanced across intrinsic + market methods</t>
        </is>
      </c>
      <c r="E42" s="189" t="inlineStr">
        <is>
          <t>n/a</t>
        </is>
      </c>
      <c r="F42" s="189" t="inlineStr">
        <is>
          <t>n/a</t>
        </is>
      </c>
      <c r="G42" s="189" t="inlineStr">
        <is>
          <t>DCF given high weight as the disciplined floor</t>
        </is>
      </c>
      <c r="H42" s="189" t="inlineStr">
        <is>
          <t>Medium</t>
        </is>
      </c>
      <c r="I42" s="189" t="inlineStr">
        <is>
          <t>Summary sheet</t>
        </is>
      </c>
    </row>
    <row r="43" ht="36" customHeight="1" s="191">
      <c r="A43" s="188" t="inlineStr">
        <is>
          <t>Blended target &amp; recommendation</t>
        </is>
      </c>
      <c r="B43" s="189" t="inlineStr">
        <is>
          <t>See Summary!B16 (target) &amp; B19 (reco)</t>
        </is>
      </c>
      <c r="C43" s="189" t="inlineStr">
        <is>
          <t>Current ~Rs830</t>
        </is>
      </c>
      <c r="D43" s="189" t="inlineStr">
        <is>
          <t>DCF + Relative + EV/EBITDA</t>
        </is>
      </c>
      <c r="E43" s="189" t="inlineStr">
        <is>
          <t>Mgmt execution strong but plan behind schedule</t>
        </is>
      </c>
      <c r="F43" s="189" t="inlineStr">
        <is>
          <t>Street thin/bullish</t>
        </is>
      </c>
      <c r="G43" s="189" t="inlineStr">
        <is>
          <t>Reco is model-derived; stance cautious given valuation</t>
        </is>
      </c>
      <c r="H43" s="189" t="inlineStr">
        <is>
          <t>Medium</t>
        </is>
      </c>
      <c r="I43" s="189" t="inlineStr">
        <is>
          <t>Cover/Summary sheets</t>
        </is>
      </c>
    </row>
    <row r="44" ht="36" customHeight="1" s="191">
      <c r="A44" s="188" t="inlineStr">
        <is>
          <t>Audit reconciliation - FY25 figures</t>
        </is>
      </c>
      <c r="B44" s="189" t="inlineStr">
        <is>
          <t>FY25 (Mar-25) consol: Revenue 5,967; PBT 212; PAT 205; equity 759; borrowings 654</t>
        </is>
      </c>
      <c r="C44" s="189" t="inlineStr">
        <is>
          <t>Confirmed by audited FY24-25 Annual Report MD&amp;A (Directors Report p.94-95)</t>
        </is>
      </c>
      <c r="D44" s="189" t="inlineStr">
        <is>
          <t>The DD note's "FY25 PAT 137.67 / PBT 156.39 / borrowings 397" are the FY24 (Mar-24) figures</t>
        </is>
      </c>
      <c r="E44" s="189" t="inlineStr">
        <is>
          <t>n/a</t>
        </is>
      </c>
      <c r="F44" s="189" t="inlineStr">
        <is>
          <t>n/a</t>
        </is>
      </c>
      <c r="G44" s="189" t="inlineStr">
        <is>
          <t>REJECTED those "corrections" - they would replace correct FY25 audited values with FY24; model already matches audited AR</t>
        </is>
      </c>
      <c r="H44" s="189" t="inlineStr">
        <is>
          <t>High</t>
        </is>
      </c>
      <c r="I44" s="189" t="inlineStr">
        <is>
          <t>Annual Report FY24-25 MD&amp;A; Investor Pres p.22</t>
        </is>
      </c>
    </row>
    <row r="45" ht="48" customHeight="1" s="191">
      <c r="A45" s="188" t="inlineStr">
        <is>
          <t>Key limitation - peer multiples</t>
        </is>
      </c>
      <c r="B45" s="189" t="inlineStr">
        <is>
          <t>Approximate, ~Aug-2026</t>
        </is>
      </c>
      <c r="C45" s="189" t="inlineStr">
        <is>
          <t>Refresh with live data</t>
        </is>
      </c>
      <c r="D45" s="189" t="inlineStr">
        <is>
          <t>Mixed-currency ratios (unitless)</t>
        </is>
      </c>
      <c r="E45" s="189" t="inlineStr">
        <is>
          <t>n/a</t>
        </is>
      </c>
      <c r="F45" s="189" t="inlineStr">
        <is>
          <t>n/a</t>
        </is>
      </c>
      <c r="G45" s="189" t="inlineStr">
        <is>
          <t>Flagged for verification before committee use</t>
        </is>
      </c>
      <c r="H45" s="189" t="inlineStr">
        <is>
          <t>Medium</t>
        </is>
      </c>
      <c r="I45" s="189" t="inlineStr">
        <is>
          <t>Refresh required</t>
        </is>
      </c>
    </row>
  </sheetData>
  <mergeCells count="7">
    <mergeCell ref="A25:I25"/>
    <mergeCell ref="A33:I33"/>
    <mergeCell ref="A19:I19"/>
    <mergeCell ref="A2:I2"/>
    <mergeCell ref="A10:I10"/>
    <mergeCell ref="A1:I1"/>
    <mergeCell ref="A39:I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OM PRAKASH PANDA</dc:creator>
  <dcterms:created xsi:type="dcterms:W3CDTF">2026-06-14T05:12:04Z</dcterms:created>
  <dcterms:modified xsi:type="dcterms:W3CDTF">2026-08-13T09:26:41Z</dcterms:modified>
  <cp:lastModifiedBy>OM PRAKASH PANDA</cp:lastModifiedBy>
</cp:coreProperties>
</file>